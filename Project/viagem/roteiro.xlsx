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45C2D9AF-0D5E-4BDB-BFEC-09C00F12D8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Roteiro por horário" sheetId="2" r:id="rId2"/>
    <sheet name="Passeios e custos" sheetId="3" r:id="rId3"/>
    <sheet name="Prime Gourmet" sheetId="4" r:id="rId4"/>
    <sheet name="Custos estimad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0" i="5"/>
  <c r="E9" i="5"/>
  <c r="E8" i="5"/>
  <c r="E7" i="5"/>
  <c r="E6" i="5"/>
  <c r="D5" i="5"/>
  <c r="E5" i="5" s="1"/>
  <c r="E4" i="5"/>
  <c r="E3" i="5"/>
  <c r="E2" i="5"/>
</calcChain>
</file>

<file path=xl/sharedStrings.xml><?xml version="1.0" encoding="utf-8"?>
<sst xmlns="http://schemas.openxmlformats.org/spreadsheetml/2006/main" count="618" uniqueCount="455">
  <si>
    <t>Roteiro Gramado/Canela + Torres/Porto Alegre</t>
  </si>
  <si>
    <t>Viagem</t>
  </si>
  <si>
    <t>IFMT para ENCOMP/CSBC</t>
  </si>
  <si>
    <t>Saída de Campo Verde</t>
  </si>
  <si>
    <t>17/07/2026</t>
  </si>
  <si>
    <t>Chegada em Gramado</t>
  </si>
  <si>
    <t>19/07/2026</t>
  </si>
  <si>
    <t>Hospedagem</t>
  </si>
  <si>
    <t>Hotel Azaleia, 19/07 a 23/07</t>
  </si>
  <si>
    <t>Carro alugado</t>
  </si>
  <si>
    <t>Retirada em 20/07 às 18h. Uso principal em 21/07 e 22/07.</t>
  </si>
  <si>
    <t>Ponto crítico</t>
  </si>
  <si>
    <t>Torres + Porto Alegre no mesmo dia é possível, mas é pesado: cerca de 7h a 8h de volante somando ida, deslocamentos e volta para Gramado.</t>
  </si>
  <si>
    <t>Decisão recomendada</t>
  </si>
  <si>
    <t>Escolher o dia de Torres/Porto Alegre 48h antes, conforme chuva/vento. Se chover forte, fazer Porto Alegre ou Canela indoor.</t>
  </si>
  <si>
    <t>Prime Gourmet</t>
  </si>
  <si>
    <t>Não assinar sem validar no app os parceiros e regras exatamente para Gramado/Canela. Porto Alegre e Litoral Norte podem exigir assinaturas regionais separadas.</t>
  </si>
  <si>
    <t>Fontes</t>
  </si>
  <si>
    <t>Links oficiais/consultados estão nas colunas de fonte das abas. Valores são estimativas consultadas em 08/07/2026 e podem mudar.</t>
  </si>
  <si>
    <t>Dia</t>
  </si>
  <si>
    <t>Horário</t>
  </si>
  <si>
    <t>Cidade/Base</t>
  </si>
  <si>
    <t>Atividade</t>
  </si>
  <si>
    <t>Deslocamento</t>
  </si>
  <si>
    <t>Duração estimada</t>
  </si>
  <si>
    <t>Custo estimado por pessoa</t>
  </si>
  <si>
    <t>Observações</t>
  </si>
  <si>
    <t>Fonte/validação</t>
  </si>
  <si>
    <t>19/07 Dom</t>
  </si>
  <si>
    <t>Chegada + tarde/noite</t>
  </si>
  <si>
    <t>Gramado</t>
  </si>
  <si>
    <t>Check-in/descanso + caminhada leve: Lago Negro, Praça das Etnias, Rua Coberta, Igreja São Pedro e Fonte do Amor Eterno</t>
  </si>
  <si>
    <t>2h30 a 4h</t>
  </si>
  <si>
    <t>Gratuito; pedalinho ~R$70 por embarcação; cadeado ~R$35</t>
  </si>
  <si>
    <t>Não necessário</t>
  </si>
  <si>
    <t>Dia livre e sem carro. Fazer tudo leve, sem gastar com parque caro logo na chegada.</t>
  </si>
  <si>
    <t>Hotel Azaleia; notas do usuário; Tripadvisor/Gramado Blog</t>
  </si>
  <si>
    <t>20/07 Seg</t>
  </si>
  <si>
    <t>10h30</t>
  </si>
  <si>
    <t>Evento</t>
  </si>
  <si>
    <t>Apresentação no Café com Inovação</t>
  </si>
  <si>
    <t>Sair com folga do hotel conforme local oficial do evento</t>
  </si>
  <si>
    <t>20 min a 2h30</t>
  </si>
  <si>
    <t>Não se aplica</t>
  </si>
  <si>
    <t>Como a duração é incerta, deixar o dia flexível.</t>
  </si>
  <si>
    <t>Contexto do usuário</t>
  </si>
  <si>
    <t>15h30 - 17h30</t>
  </si>
  <si>
    <t>Mini Mundo OU Lago Negro/Mini Mundo se o evento terminar cedo</t>
  </si>
  <si>
    <t>Uber/à pé dependendo do local</t>
  </si>
  <si>
    <t>1h30 a 2h</t>
  </si>
  <si>
    <t>Mini Mundo adulto R$128 no site oficial</t>
  </si>
  <si>
    <t>A confirmar no app</t>
  </si>
  <si>
    <t>Mini Mundo fecha às 17h; só encaixa se o evento acabar cedo.</t>
  </si>
  <si>
    <t>Mini Mundo oficial</t>
  </si>
  <si>
    <t>18h00</t>
  </si>
  <si>
    <t>Retirada do carro alugado</t>
  </si>
  <si>
    <t>Retirar e abastecer/confirmar seguro</t>
  </si>
  <si>
    <t>40 min</t>
  </si>
  <si>
    <t>Conforme locadora</t>
  </si>
  <si>
    <t>Evitar deslocamento longo à noite no primeiro dia com carro.</t>
  </si>
  <si>
    <t>19h30</t>
  </si>
  <si>
    <t>Jantar com Prime: Quintanilha ou outro parceiro validado no app</t>
  </si>
  <si>
    <t>Carro/Uber curto</t>
  </si>
  <si>
    <t>1h30</t>
  </si>
  <si>
    <t>Buffet relatado R$72-R$85 por pessoa; com Prime pode cair para ~metade para 2 pessoas</t>
  </si>
  <si>
    <t>Confirmado por relatos, mas validar regra atual no app</t>
  </si>
  <si>
    <t>Usar esse jantar para testar Prime antes dos gastos maiores.</t>
  </si>
  <si>
    <t>Tripadvisor; notas do usuário; posts Prime</t>
  </si>
  <si>
    <t>21/07 Ter</t>
  </si>
  <si>
    <t>Gramado → Torres</t>
  </si>
  <si>
    <t>Sair cedo para Torres</t>
  </si>
  <si>
    <t>~185 a 220 km; estimativa 3h a 3h30</t>
  </si>
  <si>
    <t>3h a 3h30</t>
  </si>
  <si>
    <t>Combustível + pedágios</t>
  </si>
  <si>
    <t>Dia cansativo. Levar casaco e capa de chuva.</t>
  </si>
  <si>
    <t>Rome2Rio/DistânciasCidades</t>
  </si>
  <si>
    <t>09h30 - 12h00</t>
  </si>
  <si>
    <t>Torres</t>
  </si>
  <si>
    <t>Parque da Guarita + Morro das Furnas/Torre do Meio</t>
  </si>
  <si>
    <t>Carro até o parque; trilhas curtas a pé</t>
  </si>
  <si>
    <t>2h a 2h30</t>
  </si>
  <si>
    <t>Entrada/estacionamento a confirmar; passeio em si é majoritariamente natural</t>
  </si>
  <si>
    <t>Não confirmado</t>
  </si>
  <si>
    <t>Principal paisagem de Torres. Se chover forte, encurtar.</t>
  </si>
  <si>
    <t>Prefeitura de Torres; Turismo RS</t>
  </si>
  <si>
    <t>12h10 - 13h00</t>
  </si>
  <si>
    <t>Praia da Cal + Morro do Farol</t>
  </si>
  <si>
    <t>10 a 15 min entre pontos</t>
  </si>
  <si>
    <t>50 min</t>
  </si>
  <si>
    <t>Gratuito</t>
  </si>
  <si>
    <t>Morro do Farol tem vista ampla e acesso de carro ao topo segundo relatos.</t>
  </si>
  <si>
    <t>Tripadvisor; Prefeitura/Turismo RS</t>
  </si>
  <si>
    <t>13h00 - 14h20</t>
  </si>
  <si>
    <t>Almoço</t>
  </si>
  <si>
    <t>Centro/Praia Grande</t>
  </si>
  <si>
    <t>1h20</t>
  </si>
  <si>
    <t>R$60 a R$120 por pessoa estimado</t>
  </si>
  <si>
    <t>Somente se Prime Litoral Norte tiver parceiro</t>
  </si>
  <si>
    <t>Prime Gramado/Canela provavelmente não cobre Litoral Norte. Validar região antes.</t>
  </si>
  <si>
    <t>Prime Gourmet fontes gerais</t>
  </si>
  <si>
    <t>14h30 - 16h45</t>
  </si>
  <si>
    <t>Torres → Porto Alegre</t>
  </si>
  <si>
    <t>Deslocamento para Porto Alegre</t>
  </si>
  <si>
    <t>~193 km</t>
  </si>
  <si>
    <t>2h15 a 2h30</t>
  </si>
  <si>
    <t>Combustível + estacionamento</t>
  </si>
  <si>
    <t>Chegar direto na Orla/Cais, sem tentar fazer museus se já estiver tarde.</t>
  </si>
  <si>
    <t>Rome2Rio</t>
  </si>
  <si>
    <t>17h00 - 19h30</t>
  </si>
  <si>
    <t>Porto Alegre</t>
  </si>
  <si>
    <t>Orla do Guaíba, Usina do Gasômetro, Cais Embarcadero ou Pontal Shopping</t>
  </si>
  <si>
    <t>Estacionar uma vez e caminhar</t>
  </si>
  <si>
    <t>Orla grátis; consumo variável</t>
  </si>
  <si>
    <t>Prime POA só se tiver assinatura da região Porto Alegre</t>
  </si>
  <si>
    <t>Melhor parte de POA para fim de tarde. Com chuva, priorizar Cais/Pontal por estrutura.</t>
  </si>
  <si>
    <t>Cais Embarcadero; Pontal; Guia Melhores Destinos</t>
  </si>
  <si>
    <t>19h30 - 21h00</t>
  </si>
  <si>
    <t>Jantar rápido</t>
  </si>
  <si>
    <t>Cais/Pontal/Moinhos</t>
  </si>
  <si>
    <t>R$70 a R$150 por pessoa</t>
  </si>
  <si>
    <t>A confirmar em região POA</t>
  </si>
  <si>
    <t>Evitar jantar muito demorado porque ainda tem volta para Gramado.</t>
  </si>
  <si>
    <t>Fontes de funcionamento locais</t>
  </si>
  <si>
    <t>21h00 - 23h30</t>
  </si>
  <si>
    <t>Porto Alegre → Gramado</t>
  </si>
  <si>
    <t>Volta para o hotel</t>
  </si>
  <si>
    <t>~115 km a 125 km; cerca de 2h a 2h30</t>
  </si>
  <si>
    <t>Combustível</t>
  </si>
  <si>
    <t>Só fazer esta volta tarde se todos estiverem descansados e sem chuva forte.</t>
  </si>
  <si>
    <t>Estimativa logística</t>
  </si>
  <si>
    <t>22/07 Qua</t>
  </si>
  <si>
    <t>08h30 - 09h15</t>
  </si>
  <si>
    <t>Gramado → Canela</t>
  </si>
  <si>
    <t>Saída para Canela/Caracol</t>
  </si>
  <si>
    <t>40 a 45 min com margem</t>
  </si>
  <si>
    <t>45 min</t>
  </si>
  <si>
    <t>Combustível/estacionamento</t>
  </si>
  <si>
    <t>Dia de carro para atrações distantes.</t>
  </si>
  <si>
    <t>Roteiro</t>
  </si>
  <si>
    <t>09h30 - 11h30</t>
  </si>
  <si>
    <t>Canela</t>
  </si>
  <si>
    <t>Skyglass Canela: Plataforma + Abusado</t>
  </si>
  <si>
    <t>Carro; fica afastado do centro de Canela</t>
  </si>
  <si>
    <t>Combo adulto oficial R$260; comprar antecipado até 1 dia antes</t>
  </si>
  <si>
    <t>A confirmar</t>
  </si>
  <si>
    <t>Vá de carro. Comprar antes ajuda com preço e fila; olhar clima antes.</t>
  </si>
  <si>
    <t>Skyglass oficial</t>
  </si>
  <si>
    <t>11h45 - 13h15</t>
  </si>
  <si>
    <t>Parque do Caracol: mirantes, observatório, trilhas leves</t>
  </si>
  <si>
    <t>Curto deslocamento do Skyglass</t>
  </si>
  <si>
    <t>Ingresso a confirmar; estacionamento oficial R$30</t>
  </si>
  <si>
    <t>Não precisa fazer todas as trilhas se chover.</t>
  </si>
  <si>
    <t>Parque do Caracol oficial/SAC</t>
  </si>
  <si>
    <t>13h30 - 15h00</t>
  </si>
  <si>
    <t>Almoço em Canela</t>
  </si>
  <si>
    <t>Centro de Canela</t>
  </si>
  <si>
    <t>R$60 a R$130 por pessoa</t>
  </si>
  <si>
    <t>Validar parceiros de Canela no app</t>
  </si>
  <si>
    <t>Escolher restaurante Prime perto da Catedral ou no caminho para Jolimont.</t>
  </si>
  <si>
    <t>Prime app</t>
  </si>
  <si>
    <t>15h15 - 16h00</t>
  </si>
  <si>
    <t>Catedral de Pedra</t>
  </si>
  <si>
    <t>30 a 45 min</t>
  </si>
  <si>
    <t>Gratuito por fora; atrações/eventos podem ser pagos</t>
  </si>
  <si>
    <t>Bom ponto para foto, rápido e central.</t>
  </si>
  <si>
    <t>16h20 - 18h00</t>
  </si>
  <si>
    <t>Vinícola Jolimont OU Alpen Park</t>
  </si>
  <si>
    <t>Carro</t>
  </si>
  <si>
    <t>Jolimont online R$149; Alpen varia por atração</t>
  </si>
  <si>
    <t>Escolha só um para não virar correria. Jolimont exige mais horário; Alpen é mais aventura.</t>
  </si>
  <si>
    <t>Jolimont/Alpen oficiais</t>
  </si>
  <si>
    <t>19h30 - 21h30</t>
  </si>
  <si>
    <t>Jantar temático opcional: Hector Pizzaria ou fondue com Prime</t>
  </si>
  <si>
    <t>Centro</t>
  </si>
  <si>
    <t>2h</t>
  </si>
  <si>
    <t>Hector relatado R$289,90 adulto; Prime 2 por 1 pode reduzir se regra válida</t>
  </si>
  <si>
    <t>Confirmar voucher e taxas no app/WhatsApp</t>
  </si>
  <si>
    <t>Hector é caro; só vale se vocês querem experiência temática e Prime estiver claro.</t>
  </si>
  <si>
    <t>Hector oficial; posts/reviews Prime</t>
  </si>
  <si>
    <t>23/07 Qui</t>
  </si>
  <si>
    <t>Três Coroas/Gramado</t>
  </si>
  <si>
    <t>Opção A: Templo Budista Khadro Ling</t>
  </si>
  <si>
    <t>Sem carro: avaliar Uber/transfer; com carro seria ~30 min</t>
  </si>
  <si>
    <t>Entrada/estacionamento grátis para visitantes comuns</t>
  </si>
  <si>
    <t>Só abre quinta e sexta em janelas específicas; nos dias 21/22 fica fechado.</t>
  </si>
  <si>
    <t>Templo Budista oficial</t>
  </si>
  <si>
    <t>10h00 - 13h00</t>
  </si>
  <si>
    <t>Opção B sem carro: centro, lojas de chocolate, Praça das Etnias, Rua Torta, Lago Negro</t>
  </si>
  <si>
    <t>À pé/Uber</t>
  </si>
  <si>
    <t>3h</t>
  </si>
  <si>
    <t>Baixo; consumo variável</t>
  </si>
  <si>
    <t>Pode usar para almoço</t>
  </si>
  <si>
    <t>Mais seguro se tiver bagagem e saída à noite.</t>
  </si>
  <si>
    <t>14h00 - 17h00</t>
  </si>
  <si>
    <t>Últimas compras/fotos + retirada de bagagem</t>
  </si>
  <si>
    <t>Centro/hotel</t>
  </si>
  <si>
    <t>Variável</t>
  </si>
  <si>
    <t>Não marcar passeio caro no fim do dia para não atrasar o ônibus.</t>
  </si>
  <si>
    <t>Prioridade</t>
  </si>
  <si>
    <t>Local</t>
  </si>
  <si>
    <t>Cidade</t>
  </si>
  <si>
    <t>Foto/referência visual</t>
  </si>
  <si>
    <t>Descrição</t>
  </si>
  <si>
    <t>O que fazer</t>
  </si>
  <si>
    <t>Valor estimado</t>
  </si>
  <si>
    <t>Agendamento</t>
  </si>
  <si>
    <t>Quando encaixar</t>
  </si>
  <si>
    <t>Fonte URL</t>
  </si>
  <si>
    <t>Alta</t>
  </si>
  <si>
    <t>Lago Negro / Pedalinho</t>
  </si>
  <si>
    <t>Fotos em guias e avaliações do Lago Negro</t>
  </si>
  <si>
    <t>Parque aberto e gratuito perto do Hotel Azaleia.</t>
  </si>
  <si>
    <t>Caminhada, fotos, pedalinho.</t>
  </si>
  <si>
    <t>Entrada grátis; pedalinho ~R$70 por embarcação</t>
  </si>
  <si>
    <t>Não precisa</t>
  </si>
  <si>
    <t>Sem agendamento</t>
  </si>
  <si>
    <t>19/07 ou 23/07</t>
  </si>
  <si>
    <t>https://www.hotelazaleia.com.br/ | https://www.tripadvisor.com.br/Attraction_Review-g303536-d600770-Reviews-Lago_Negro-Gramado_State_of_Rio_Grande_do_Sul.html</t>
  </si>
  <si>
    <t>Rua Coberta + Igreja São Pedro + Fonte do Amor Eterno</t>
  </si>
  <si>
    <t>Fotos em guias de Gramado</t>
  </si>
  <si>
    <t>Miolo turístico central de Gramado.</t>
  </si>
  <si>
    <t>Fotos, lojas, chocolate, cadeado na fonte.</t>
  </si>
  <si>
    <t>Grátis; cadeado ~R$35-R$40</t>
  </si>
  <si>
    <t>https://www.tripadvisor.com.br/Attraction_Review-g303536-d6852330-Reviews-Fonte_do_Amor_Eterno-Gramado_State_of_Rio_Grande_do_Sul.html</t>
  </si>
  <si>
    <t>Média</t>
  </si>
  <si>
    <t>Mini Mundo</t>
  </si>
  <si>
    <t>Site oficial com fotos do parque</t>
  </si>
  <si>
    <t>Parque ao ar livre com miniaturas.</t>
  </si>
  <si>
    <t>Fotos e visita guiada/autônoma.</t>
  </si>
  <si>
    <t>Adulto R$128 no site oficial consultado</t>
  </si>
  <si>
    <t>Comprar online ajuda. Encaixar antes das 17h.</t>
  </si>
  <si>
    <t>20/07 se sobrar tarde ou 23/07</t>
  </si>
  <si>
    <t>https://ingressos.minimundo.com.br/produto/vitrine/ingressos-minimundo</t>
  </si>
  <si>
    <t>NBA Park</t>
  </si>
  <si>
    <t>Site oficial com fotos</t>
  </si>
  <si>
    <t>Parque indoor temático da NBA com mais de 15 atrações.</t>
  </si>
  <si>
    <t>Museu, games, loja, restaurante/café, pocket shows.</t>
  </si>
  <si>
    <t>Valores variáveis; redes indicam a partir de ~R$124,50; notas do usuário 59-169</t>
  </si>
  <si>
    <t>Comprar antes se decidir ir.</t>
  </si>
  <si>
    <t>Chuva ou dia sem carro</t>
  </si>
  <si>
    <t>https://www.nbaparkgramado.com.br/</t>
  </si>
  <si>
    <t>Space Adventure</t>
  </si>
  <si>
    <t>Exposição espacial com itens e experiências sobre NASA.</t>
  </si>
  <si>
    <t>Museu, planetário/experiências extras.</t>
  </si>
  <si>
    <t>R$99,90 antecipado; R$119,90 referência do site oficial consultado</t>
  </si>
  <si>
    <t>Comprar até 1 dia antes para preço antecipado.</t>
  </si>
  <si>
    <t>22/07 ou chuva</t>
  </si>
  <si>
    <t>https://ecommerce.spaceadventure.com.br/produto/vitrine/space-avulso-canela</t>
  </si>
  <si>
    <t>Skyglass Canela</t>
  </si>
  <si>
    <t>Site oficial com fotos e tour 360</t>
  </si>
  <si>
    <t>Plataforma de vidro e cadeira suspensa Abusado sobre vale.</t>
  </si>
  <si>
    <t>Plataforma, Abusado, fotos, memorial, deck.</t>
  </si>
  <si>
    <t>Combo plataforma + Abusado adulto R$260 no site oficial</t>
  </si>
  <si>
    <t>Comprar até 1 dia antes; evitar última hora por confirmação de pagamento.</t>
  </si>
  <si>
    <t>22/07</t>
  </si>
  <si>
    <t>https://skyglasscanela.com.br/ | https://lojaskyglasscanela.com.br/produto/vitrine/comboplataformaabusado</t>
  </si>
  <si>
    <t>Parque do Caracol</t>
  </si>
  <si>
    <t>Site oficial com fotos da cascata</t>
  </si>
  <si>
    <t>Mirantes e trilhas da Cascata do Caracol.</t>
  </si>
  <si>
    <t>Mirante, observatório, trilhas leves, fotos.</t>
  </si>
  <si>
    <t>Comprar online se quiser evitar fila.</t>
  </si>
  <si>
    <t>https://parquecaracol.com.br/ | https://sac.parquecaracol.com.br/hc/pt-br/articles/11979293684379-Informações-sobre-o-estacionamento</t>
  </si>
  <si>
    <t>Bondinhos Canela</t>
  </si>
  <si>
    <t>Site oficial</t>
  </si>
  <si>
    <t>Bondinhos com vista para Cascata do Caracol.</t>
  </si>
  <si>
    <t>Bondinho, mirantes, tirolesa/aerozuum conforme pacote.</t>
  </si>
  <si>
    <t>Valores variáveis; consultar oficial</t>
  </si>
  <si>
    <t>Comprar antes se escolher no lugar do Caracol/Skyglass.</t>
  </si>
  <si>
    <t>22/07 alternativa</t>
  </si>
  <si>
    <t>https://parquesdaserra.com.br/</t>
  </si>
  <si>
    <t>Vinícola Jolimont</t>
  </si>
  <si>
    <t>Tour com visitação e degustação.</t>
  </si>
  <si>
    <t>História da vinícola, degustação, taça de brinde.</t>
  </si>
  <si>
    <t>Tour Jolimont R$149 online/R$189 referência</t>
  </si>
  <si>
    <t>Reservar com antecedência; duração ~1h30 a 2h.</t>
  </si>
  <si>
    <t>22/07 tarde</t>
  </si>
  <si>
    <t>https://vinicolajolimont.com.br/</t>
  </si>
  <si>
    <t>Baixa/Média</t>
  </si>
  <si>
    <t>Snowland</t>
  </si>
  <si>
    <t>Parque de neve indoor.</t>
  </si>
  <si>
    <t>Neve, patinação, shows, esportes.</t>
  </si>
  <si>
    <t>Dinâmico; notas do usuário ~R$300; estacionamento R$37</t>
  </si>
  <si>
    <t>Comprar antecipado; exige boa parte do dia.</t>
  </si>
  <si>
    <t>Só se for prioridade do grupo</t>
  </si>
  <si>
    <t>https://www.snowland.com.br/ingressos/ | https://www.snowland.com.br/o-parque/informacoes/</t>
  </si>
  <si>
    <t>Alpen Park</t>
  </si>
  <si>
    <t>Parque de aventura.</t>
  </si>
  <si>
    <t>Trenó alpino, cinema 4D, passaportes e atrações avulsas.</t>
  </si>
  <si>
    <t>Entrada no parque grátis; paga atrações/passaporte</t>
  </si>
  <si>
    <t>Comprar online se escolher passaporte.</t>
  </si>
  <si>
    <t>https://www.alpenpark.com.br/</t>
  </si>
  <si>
    <t>Parque da Guarita</t>
  </si>
  <si>
    <t>Fotos da Prefeitura/Torres Turismo</t>
  </si>
  <si>
    <t>Principal atrativo natural de Torres, com torres basálticas e mar.</t>
  </si>
  <si>
    <t>Trilhas, mirantes, Praia da Guarita, fotos.</t>
  </si>
  <si>
    <t>A confirmar; pode haver cobrança para carro/estacionamento</t>
  </si>
  <si>
    <t>Sem agendamento para visita comum; verificar clima.</t>
  </si>
  <si>
    <t>21/07 ou 22/07</t>
  </si>
  <si>
    <t>https://torres.rs.gov.br/vivatorres/parque-da-guarita/</t>
  </si>
  <si>
    <t>Morro das Furnas / Torre do Meio</t>
  </si>
  <si>
    <t>Site oficial de turismo</t>
  </si>
  <si>
    <t>Falésia no Parque da Guarita com furnas/cavernas e trilha.</t>
  </si>
  <si>
    <t>Trilha curta, vista, fotos.</t>
  </si>
  <si>
    <t>Gratuito/condicionado ao acesso ao parque</t>
  </si>
  <si>
    <t>Sem agendamento; atenção a chuva e escadas.</t>
  </si>
  <si>
    <t>Dia de Torres</t>
  </si>
  <si>
    <t>https://torres.rs.gov.br/viva/morro-do-meio/</t>
  </si>
  <si>
    <t>Morro do Farol</t>
  </si>
  <si>
    <t>Fotos em guias/avaliações</t>
  </si>
  <si>
    <t>Mirante urbano com vista para praias e cidade.</t>
  </si>
  <si>
    <t>Vista panorâmica, fotos, observar parapente.</t>
  </si>
  <si>
    <t>Sem agendamento.</t>
  </si>
  <si>
    <t>https://www.tripadvisor.com.br/Attraction_Review-g303553-d6378912-Reviews-Morro_do_Farol-Torres_State_of_Rio_Grande_do_Sul.html</t>
  </si>
  <si>
    <t>Praia da Cal + Molhes da Barra</t>
  </si>
  <si>
    <t>Guias de Torres</t>
  </si>
  <si>
    <t>Praias e pontos de caminhada.</t>
  </si>
  <si>
    <t>Caminhada, fotos, mar, molhes.</t>
  </si>
  <si>
    <t>https://www.decolar.com/lugares-para-viajar/7550/torres</t>
  </si>
  <si>
    <t>Orla do Guaíba + Usina do Gasômetro</t>
  </si>
  <si>
    <t>Guias oficiais/turismo</t>
  </si>
  <si>
    <t>Principal passeio ao ar livre para pôr do sol.</t>
  </si>
  <si>
    <t>Caminhada, fotos, pôr do sol.</t>
  </si>
  <si>
    <t>Prime não necessário</t>
  </si>
  <si>
    <t>Fim da tarde no dia de POA</t>
  </si>
  <si>
    <t>https://guia.melhoresdestinos.com.br/orla-do-guaiba-porto-alegre.html</t>
  </si>
  <si>
    <t>Cais Embarcadero</t>
  </si>
  <si>
    <t>Site/perfil oficial</t>
  </si>
  <si>
    <t>Complexo de gastronomia e entretenimento no Guaíba.</t>
  </si>
  <si>
    <t>Jantar, drinks, eventos, pôr do sol.</t>
  </si>
  <si>
    <t>Entrada livre; consumo variável</t>
  </si>
  <si>
    <t>Só se assinar região POA e parceiro aceitar</t>
  </si>
  <si>
    <t>Reservar restaurante se quiser garantir mesa.</t>
  </si>
  <si>
    <t>Fim da tarde/noite</t>
  </si>
  <si>
    <t>https://www.instagram.com/caisembarcadero/</t>
  </si>
  <si>
    <t>Mercado Público</t>
  </si>
  <si>
    <t>Mercado histórico com comida e comércio.</t>
  </si>
  <si>
    <t>Almoço, compras, cafés.</t>
  </si>
  <si>
    <t>Entrada grátis; consumo variável</t>
  </si>
  <si>
    <t>Se fizer POA mais cedo</t>
  </si>
  <si>
    <t>https://www.mercadopublico.com.br/</t>
  </si>
  <si>
    <t>Casa de Cultura Mario Quintana</t>
  </si>
  <si>
    <t>Centro cultural em prédio histórico.</t>
  </si>
  <si>
    <t>Exposições, arquitetura, espaços culturais.</t>
  </si>
  <si>
    <t>Mediação pode exigir agendamento por email.</t>
  </si>
  <si>
    <t>POA de dia</t>
  </si>
  <si>
    <t>https://www.ccmq.com.br/</t>
  </si>
  <si>
    <t>Farol Santander POA</t>
  </si>
  <si>
    <t>Centro cultural e turístico no Centro Histórico.</t>
  </si>
  <si>
    <t>Exposições, arquitetura, agenda cultural.</t>
  </si>
  <si>
    <t>Visitação informada como gratuita; eventos podem cobrar</t>
  </si>
  <si>
    <t>Comprar/validar agenda se houver evento.</t>
  </si>
  <si>
    <t>https://www.farolsantander.com.br/poa/ingressos/</t>
  </si>
  <si>
    <t>Pontal Shopping</t>
  </si>
  <si>
    <t>Shopping na orla com restaurantes e vista do Guaíba.</t>
  </si>
  <si>
    <t>Jantar, pôr do sol com estrutura, compras.</t>
  </si>
  <si>
    <t>Reservar restaurante se for no pôr do sol.</t>
  </si>
  <si>
    <t>Alternativa com chuva</t>
  </si>
  <si>
    <t>https://pontalshopping.com.br/</t>
  </si>
  <si>
    <t>Barco Cisne Branco</t>
  </si>
  <si>
    <t>Passeio de barco pelo Guaíba.</t>
  </si>
  <si>
    <t>Navegação turística de cerca de 1h.</t>
  </si>
  <si>
    <t>Site indica R$65 para Navegando pelo Guaíba</t>
  </si>
  <si>
    <t>Reservar por WhatsApp/site; sujeito a clima.</t>
  </si>
  <si>
    <t>Só se POA for prioridade</t>
  </si>
  <si>
    <t>https://www.barcocisnebranco.com.br/</t>
  </si>
  <si>
    <t>Templo Budista Khadro Ling</t>
  </si>
  <si>
    <t>Três Coroas</t>
  </si>
  <si>
    <t>Centro budista tibetano próximo de Gramado, não é Porto Alegre.</t>
  </si>
  <si>
    <t>Visita contemplativa, fotos respeitosas, meditação conforme agenda.</t>
  </si>
  <si>
    <t>Entrada e estacionamento gratuitos para visitantes comuns</t>
  </si>
  <si>
    <t>Vans/ônibus precisam agendar. Visitantes comuns seguem horários.</t>
  </si>
  <si>
    <t>23/07 quinta, pois 21/22 fecha</t>
  </si>
  <si>
    <t>https://www.templobudista.org/</t>
  </si>
  <si>
    <t>Monte da Fé</t>
  </si>
  <si>
    <t>Igrejinha</t>
  </si>
  <si>
    <t>Site oficial/loja</t>
  </si>
  <si>
    <t>Parque religioso/natural com vista.</t>
  </si>
  <si>
    <t>Mirante, fotos, contemplação.</t>
  </si>
  <si>
    <t>Fim de semana/feriado R$15 no site consultado</t>
  </si>
  <si>
    <t>Consultar horário antes; relatos falam de acesso mais difícil.</t>
  </si>
  <si>
    <t>Só se estiver de carro e sobrar tempo</t>
  </si>
  <si>
    <t>https://ecovilaolimpia.com.br/loja/ingressos/ingresso-ao-monte-da-fe/</t>
  </si>
  <si>
    <t>Tema/Estabelecimento</t>
  </si>
  <si>
    <t>Status</t>
  </si>
  <si>
    <t>Regra apurada</t>
  </si>
  <si>
    <t>Como usar/risco</t>
  </si>
  <si>
    <t>Ação antes da viagem</t>
  </si>
  <si>
    <t>Funcionamento geral do Prime Gourmet</t>
  </si>
  <si>
    <t>Confirmado geral</t>
  </si>
  <si>
    <t>Modelo 2 por 1: prato/ingresso/diária de igual ou menor valor. É necessário escolher região. Voucher deve ser lido/validado no QR Code do estabelecimento.</t>
  </si>
  <si>
    <t>Não é cashback. O valor da assinatura não vira crédito. Normalmente não acumula com promoções.</t>
  </si>
  <si>
    <t>Baixar o app grátis, selecionar Gramado/Canela e ler as regras antes de assinar.</t>
  </si>
  <si>
    <t>https://apps.apple.com/br/app/prime-gourmet-club/id1500666866 | https://primegourmetclub.com.br/fozdoiguacu/cupom/</t>
  </si>
  <si>
    <t>Assinatura por região</t>
  </si>
  <si>
    <t>Fontes indicam assinatura por região, validade 12 meses e pagamento único/anual. Gramado/Canela, Porto Alegre e Litoral Norte aparecem como regiões distintas em fonte de 2026.</t>
  </si>
  <si>
    <t>Se usar em Torres/POA, talvez precise outra assinatura regional. Não assinar achando que R$200 cobre tudo.</t>
  </si>
  <si>
    <t>Confirmar dentro do app quais regiões cobrem Torres e Porto Alegre.</t>
  </si>
  <si>
    <t>https://www.quemvaiequemfica.com/post/prime-gourmet-vale-a-pena-quanto-custa-como-comprar-saiba-tudo-aqui</t>
  </si>
  <si>
    <t>Limite por estabelecimento</t>
  </si>
  <si>
    <t>Há apenas 1 voucher de cada oferta dentro do guia/região, segundo FAQ consultado.</t>
  </si>
  <si>
    <t>Não é 'ilimitado' no mesmo lugar. É útil porque há muitos parceiros, mas cada oferta é única.</t>
  </si>
  <si>
    <t>Planejar 3 a 5 usos em locais diferentes.</t>
  </si>
  <si>
    <t>https://primegourmetclub.com.br/fozdoiguacu/cupom/</t>
  </si>
  <si>
    <t>Quintanilha Buffet</t>
  </si>
  <si>
    <t>Provável/relatos positivos</t>
  </si>
  <si>
    <t>Relatos indicam compra de um buffet e ganha outro igual ou menor; desconto sempre no menor valor; taxa de serviço fora.</t>
  </si>
  <si>
    <t>Bom para testar o Prime porque é almoço/jantar simples e barato. Valores citados variam entre R$72 e R$85.</t>
  </si>
  <si>
    <t>Conferir no app o dia válido e perguntar no restaurante antes de sentar.</t>
  </si>
  <si>
    <t>https://www.tripadvisor.com.br/Restaurant_Review-g303536-d15648897-Reviews-Restaurante_Quintanilha-Gramado_State_of_Rio_Grande_do_Sul.html | https://ekr.com.br/prime-gourmet-gramado-quintanilha-buffet/</t>
  </si>
  <si>
    <t>Hector Pizzaria</t>
  </si>
  <si>
    <t>Confirmado por posts/relatos, mas atenção</t>
  </si>
  <si>
    <t>Posts do Prime indicam compra de 1 ingresso/rodízio e ganha outro igual ou menor. Relatos também apontam taxas/cobranças extras para Prime em experiência passada.</t>
  </si>
  <si>
    <t>Só vale se regra, taxa e valor final estiverem claros. É uma experiência cara.</t>
  </si>
  <si>
    <t>Antes de comprar, mandar WhatsApp perguntando: valor final com Prime, taxa extra, bebidas/serviço, dias válidos e necessidade de reserva.</t>
  </si>
  <si>
    <t>https://www.instagram.com/p/DK-gG1FhmPY/ | https://www.tripadvisor.com.br/ShowUserReviews-g303536-d19235455-r929617312-Hector_Pizzaria_Tematica-Gramado_State_of_Rio_Grande_do_Sul.html | https://hectordragao.com.br/</t>
  </si>
  <si>
    <t>Parques/atrações Gramado e Canela</t>
  </si>
  <si>
    <t>Não confirmado item a item</t>
  </si>
  <si>
    <t>O Prime diz ter cupons para ingressos em atrações, mas a lista pública completa depende do app.</t>
  </si>
  <si>
    <t>Não comprar ingresso caro sem antes comparar Prime, site oficial, Tchê Ofertas, Laçador de Ofertas e cupom oficial.</t>
  </si>
  <si>
    <t>Validar no app: Skyglass, Space Adventure, Snowland, NBA Park, Alpen Park, Mini Mundo, Caracol.</t>
  </si>
  <si>
    <t>https://apps.apple.com/br/app/prime-gourmet-club/id1500666866</t>
  </si>
  <si>
    <t>Porto Alegre e Torres</t>
  </si>
  <si>
    <t>Pendente</t>
  </si>
  <si>
    <t>Prime pode ter regiões Porto Alegre e Litoral Norte, mas não confirmei parceiros específicos para seu roteiro.</t>
  </si>
  <si>
    <t>Risco de assinar Gramado/Canela e descobrir que não serve para POA/Torres.</t>
  </si>
  <si>
    <t>Conferir no app gratuitamente antes de assinar. Se não houver 2 usos claros em POA/Torres, não assinar região extra.</t>
  </si>
  <si>
    <t>Cenário</t>
  </si>
  <si>
    <t>Item</t>
  </si>
  <si>
    <t>Qtd/Pessoas</t>
  </si>
  <si>
    <t>Valor unitário estimado</t>
  </si>
  <si>
    <t>Total estimado</t>
  </si>
  <si>
    <t>Observação</t>
  </si>
  <si>
    <t>Prime</t>
  </si>
  <si>
    <t>Assinatura Gramado/Canela</t>
  </si>
  <si>
    <t>Confirmar se o valor atual no app é R$200 ou R$190 com cupom.</t>
  </si>
  <si>
    <t>Quintanilha: economia 2 por 1</t>
  </si>
  <si>
    <t>Exemplo conservador: economiza um buffet.</t>
  </si>
  <si>
    <t>Hector: economia 2 por 1</t>
  </si>
  <si>
    <t>Só considerar se realmente forem e se não houver taxa que coma a economia.</t>
  </si>
  <si>
    <t>Resultado Prime com Quintanilha + Hector</t>
  </si>
  <si>
    <t>Se der negativo, o Prime se pagou nesses dois usos.</t>
  </si>
  <si>
    <t>Torres/POA</t>
  </si>
  <si>
    <t>Combustível dia longo</t>
  </si>
  <si>
    <t>Estimativa grosseira. Depende do carro/consumo/pedágios.</t>
  </si>
  <si>
    <t>Almoço Torres para 2</t>
  </si>
  <si>
    <t>Sem Prime.</t>
  </si>
  <si>
    <t>Jantar POA para 2</t>
  </si>
  <si>
    <t>Skyglass combo adulto</t>
  </si>
  <si>
    <t>Valor oficial consultado do combo Plataforma + Abusado adulto.</t>
  </si>
  <si>
    <t>Parque do Caracol estacionamento</t>
  </si>
  <si>
    <t>Valor oficial SAC.</t>
  </si>
  <si>
    <t>Jolimont tour adulto</t>
  </si>
  <si>
    <t>Valor online consultado.</t>
  </si>
  <si>
    <t>Hotel Lê Château fica a ~600m do Lago Negro e ~4 min de carro da Rua Coberta</t>
  </si>
  <si>
    <t>05h00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</si>
</sst>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8" borderId="0" xfId="0" applyFill="1"/>
  </cellXfs>
  <cellStyles count="1">
    <cellStyle name="Normal" xfId="0" builtin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teiroTabela" displayName="RoteiroTabela" ref="A1:J24">
  <tableColumns count="10">
    <tableColumn id="1" xr3:uid="{00000000-0010-0000-0000-000001000000}" name="Dia"/>
    <tableColumn id="2" xr3:uid="{00000000-0010-0000-0000-000002000000}" name="Horário"/>
    <tableColumn id="3" xr3:uid="{00000000-0010-0000-0000-000003000000}" name="Cidade/Base"/>
    <tableColumn id="4" xr3:uid="{00000000-0010-0000-0000-000004000000}" name="Atividade"/>
    <tableColumn id="5" xr3:uid="{00000000-0010-0000-0000-000005000000}" name="Deslocamento"/>
    <tableColumn id="6" xr3:uid="{00000000-0010-0000-0000-000006000000}" name="Duração estimada"/>
    <tableColumn id="7" xr3:uid="{00000000-0010-0000-0000-000007000000}" name="Custo estimado por pessoa"/>
    <tableColumn id="8" xr3:uid="{00000000-0010-0000-0000-000008000000}" name="Prime Gourmet"/>
    <tableColumn id="9" xr3:uid="{00000000-0010-0000-0000-000009000000}" name="Observações"/>
    <tableColumn id="10" xr3:uid="{00000000-0010-0000-0000-00000A000000}" name="Fonte/valid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sseiosTabela" displayName="PasseiosTabela" ref="A1:K25">
  <tableColumns count="11">
    <tableColumn id="1" xr3:uid="{00000000-0010-0000-0100-000001000000}" name="Prioridade"/>
    <tableColumn id="2" xr3:uid="{00000000-0010-0000-0100-000002000000}" name="Local"/>
    <tableColumn id="3" xr3:uid="{00000000-0010-0000-0100-000003000000}" name="Cidade"/>
    <tableColumn id="4" xr3:uid="{00000000-0010-0000-0100-000004000000}" name="Foto/referência visual"/>
    <tableColumn id="5" xr3:uid="{00000000-0010-0000-0100-000005000000}" name="Descrição"/>
    <tableColumn id="6" xr3:uid="{00000000-0010-0000-0100-000006000000}" name="O que fazer"/>
    <tableColumn id="7" xr3:uid="{00000000-0010-0000-0100-000007000000}" name="Valor estimado"/>
    <tableColumn id="8" xr3:uid="{00000000-0010-0000-0100-000008000000}" name="Prime Gourmet"/>
    <tableColumn id="9" xr3:uid="{00000000-0010-0000-0100-000009000000}" name="Agendamento"/>
    <tableColumn id="10" xr3:uid="{00000000-0010-0000-0100-00000A000000}" name="Quando encaixar"/>
    <tableColumn id="11" xr3:uid="{00000000-0010-0000-0100-00000B000000}" name="Font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meTabela" displayName="PrimeTabela" ref="A1:F8">
  <tableColumns count="6">
    <tableColumn id="1" xr3:uid="{00000000-0010-0000-0200-000001000000}" name="Tema/Estabelecimento"/>
    <tableColumn id="2" xr3:uid="{00000000-0010-0000-0200-000002000000}" name="Status"/>
    <tableColumn id="3" xr3:uid="{00000000-0010-0000-0200-000003000000}" name="Regra apurada"/>
    <tableColumn id="4" xr3:uid="{00000000-0010-0000-0200-000004000000}" name="Como usar/risco"/>
    <tableColumn id="5" xr3:uid="{00000000-0010-0000-0200-000005000000}" name="Ação antes da viagem"/>
    <tableColumn id="6" xr3:uid="{00000000-0010-0000-0200-000006000000}" name="Font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stosTabela" displayName="CustosTabela" ref="A1:F11">
  <tableColumns count="6">
    <tableColumn id="1" xr3:uid="{00000000-0010-0000-0300-000001000000}" name="Cenário"/>
    <tableColumn id="2" xr3:uid="{00000000-0010-0000-0300-000002000000}" name="Item"/>
    <tableColumn id="3" xr3:uid="{00000000-0010-0000-0300-000003000000}" name="Qtd/Pessoas"/>
    <tableColumn id="4" xr3:uid="{00000000-0010-0000-0300-000004000000}" name="Valor unitário estimado"/>
    <tableColumn id="5" xr3:uid="{00000000-0010-0000-0300-000005000000}" name="Total estimado"/>
    <tableColumn id="6" xr3:uid="{00000000-0010-0000-0300-000006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25"/>
  <cols>
    <col min="1" max="1" width="24" customWidth="1"/>
    <col min="2" max="2" width="95" customWidth="1"/>
  </cols>
  <sheetData>
    <row r="1" spans="1:2" ht="30" customHeight="1">
      <c r="A1" s="1" t="s">
        <v>0</v>
      </c>
      <c r="B1" s="1"/>
    </row>
    <row r="2" spans="1:2" ht="15">
      <c r="A2" s="2" t="s">
        <v>1</v>
      </c>
      <c r="B2" s="3" t="s">
        <v>2</v>
      </c>
    </row>
    <row r="3" spans="1:2" ht="15">
      <c r="A3" s="2" t="s">
        <v>3</v>
      </c>
      <c r="B3" s="3" t="s">
        <v>4</v>
      </c>
    </row>
    <row r="4" spans="1:2" ht="15">
      <c r="A4" s="2" t="s">
        <v>5</v>
      </c>
      <c r="B4" s="3" t="s">
        <v>6</v>
      </c>
    </row>
    <row r="5" spans="1:2" ht="15">
      <c r="A5" s="2" t="s">
        <v>7</v>
      </c>
      <c r="B5" s="3" t="s">
        <v>8</v>
      </c>
    </row>
    <row r="6" spans="1:2" ht="15">
      <c r="A6" s="2" t="s">
        <v>9</v>
      </c>
      <c r="B6" s="3" t="s">
        <v>10</v>
      </c>
    </row>
    <row r="7" spans="1:2" ht="29.25">
      <c r="A7" s="2" t="s">
        <v>11</v>
      </c>
      <c r="B7" s="3" t="s">
        <v>12</v>
      </c>
    </row>
    <row r="8" spans="1:2" ht="29.25">
      <c r="A8" s="2" t="s">
        <v>13</v>
      </c>
      <c r="B8" s="3" t="s">
        <v>14</v>
      </c>
    </row>
    <row r="9" spans="1:2" ht="29.25">
      <c r="A9" s="2" t="s">
        <v>15</v>
      </c>
      <c r="B9" s="3" t="s">
        <v>16</v>
      </c>
    </row>
    <row r="10" spans="1:2" ht="29.25">
      <c r="A10" s="2" t="s">
        <v>17</v>
      </c>
      <c r="B10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abSelected="1" workbookViewId="0">
      <selection activeCell="D22" sqref="D22"/>
    </sheetView>
  </sheetViews>
  <sheetFormatPr defaultRowHeight="14.25"/>
  <cols>
    <col min="1" max="1" width="13" customWidth="1"/>
    <col min="2" max="2" width="17" customWidth="1"/>
    <col min="3" max="3" width="18" customWidth="1"/>
    <col min="4" max="4" width="34" customWidth="1"/>
    <col min="5" max="5" width="30" customWidth="1"/>
    <col min="6" max="6" width="17" customWidth="1"/>
    <col min="7" max="8" width="24" customWidth="1"/>
    <col min="9" max="9" width="45" customWidth="1"/>
    <col min="10" max="10" width="34" customWidth="1"/>
  </cols>
  <sheetData>
    <row r="1" spans="1:10" ht="30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15</v>
      </c>
      <c r="I1" s="4" t="s">
        <v>26</v>
      </c>
      <c r="J1" s="4" t="s">
        <v>27</v>
      </c>
    </row>
    <row r="2" spans="1:10" s="7" customFormat="1" ht="57">
      <c r="A2" s="6" t="s">
        <v>28</v>
      </c>
      <c r="B2" s="6" t="s">
        <v>29</v>
      </c>
      <c r="C2" s="6" t="s">
        <v>30</v>
      </c>
      <c r="D2" s="6" t="s">
        <v>31</v>
      </c>
      <c r="E2" s="6" t="s">
        <v>453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</row>
    <row r="3" spans="1:10" s="9" customFormat="1" ht="28.5">
      <c r="A3" s="8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8" t="s">
        <v>39</v>
      </c>
      <c r="H3" s="8" t="s">
        <v>43</v>
      </c>
      <c r="I3" s="8" t="s">
        <v>44</v>
      </c>
      <c r="J3" s="8" t="s">
        <v>45</v>
      </c>
    </row>
    <row r="4" spans="1:10" s="9" customFormat="1" ht="28.5">
      <c r="A4" s="8" t="s">
        <v>37</v>
      </c>
      <c r="B4" s="8" t="s">
        <v>46</v>
      </c>
      <c r="C4" s="8" t="s">
        <v>30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8" t="s">
        <v>52</v>
      </c>
      <c r="J4" s="8" t="s">
        <v>53</v>
      </c>
    </row>
    <row r="5" spans="1:10" s="9" customFormat="1" ht="28.5">
      <c r="A5" s="8" t="s">
        <v>37</v>
      </c>
      <c r="B5" s="8" t="s">
        <v>54</v>
      </c>
      <c r="C5" s="8" t="s">
        <v>30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43</v>
      </c>
      <c r="I5" s="8" t="s">
        <v>59</v>
      </c>
      <c r="J5" s="8" t="s">
        <v>45</v>
      </c>
    </row>
    <row r="6" spans="1:10" s="9" customFormat="1" ht="57">
      <c r="A6" s="8" t="s">
        <v>37</v>
      </c>
      <c r="B6" s="8" t="s">
        <v>60</v>
      </c>
      <c r="C6" s="8" t="s">
        <v>30</v>
      </c>
      <c r="D6" s="8" t="s">
        <v>61</v>
      </c>
      <c r="E6" s="8" t="s">
        <v>62</v>
      </c>
      <c r="F6" s="8" t="s">
        <v>63</v>
      </c>
      <c r="G6" s="8" t="s">
        <v>64</v>
      </c>
      <c r="H6" s="8" t="s">
        <v>65</v>
      </c>
      <c r="I6" s="8" t="s">
        <v>66</v>
      </c>
      <c r="J6" s="8" t="s">
        <v>67</v>
      </c>
    </row>
    <row r="7" spans="1:10" s="11" customFormat="1" ht="28.5">
      <c r="A7" s="10" t="s">
        <v>68</v>
      </c>
      <c r="B7" s="10" t="s">
        <v>454</v>
      </c>
      <c r="C7" s="10" t="s">
        <v>69</v>
      </c>
      <c r="D7" s="10" t="s">
        <v>70</v>
      </c>
      <c r="E7" s="10" t="s">
        <v>71</v>
      </c>
      <c r="F7" s="10" t="s">
        <v>72</v>
      </c>
      <c r="G7" s="10" t="s">
        <v>73</v>
      </c>
      <c r="H7" s="10" t="s">
        <v>43</v>
      </c>
      <c r="I7" s="10" t="s">
        <v>74</v>
      </c>
      <c r="J7" s="10" t="s">
        <v>75</v>
      </c>
    </row>
    <row r="8" spans="1:10" s="11" customFormat="1" ht="42.75">
      <c r="A8" s="10" t="s">
        <v>68</v>
      </c>
      <c r="B8" s="10" t="s">
        <v>76</v>
      </c>
      <c r="C8" s="10" t="s">
        <v>77</v>
      </c>
      <c r="D8" s="10" t="s">
        <v>78</v>
      </c>
      <c r="E8" s="10" t="s">
        <v>79</v>
      </c>
      <c r="F8" s="10" t="s">
        <v>80</v>
      </c>
      <c r="G8" s="10" t="s">
        <v>81</v>
      </c>
      <c r="H8" s="10" t="s">
        <v>82</v>
      </c>
      <c r="I8" s="10" t="s">
        <v>83</v>
      </c>
      <c r="J8" s="10" t="s">
        <v>84</v>
      </c>
    </row>
    <row r="9" spans="1:10" s="11" customFormat="1" ht="28.5">
      <c r="A9" s="10" t="s">
        <v>68</v>
      </c>
      <c r="B9" s="10" t="s">
        <v>85</v>
      </c>
      <c r="C9" s="10" t="s">
        <v>77</v>
      </c>
      <c r="D9" s="10" t="s">
        <v>86</v>
      </c>
      <c r="E9" s="10" t="s">
        <v>87</v>
      </c>
      <c r="F9" s="10" t="s">
        <v>88</v>
      </c>
      <c r="G9" s="10" t="s">
        <v>89</v>
      </c>
      <c r="H9" s="10" t="s">
        <v>82</v>
      </c>
      <c r="I9" s="10" t="s">
        <v>90</v>
      </c>
      <c r="J9" s="10" t="s">
        <v>91</v>
      </c>
    </row>
    <row r="10" spans="1:10" s="11" customFormat="1" ht="28.5">
      <c r="A10" s="10" t="s">
        <v>68</v>
      </c>
      <c r="B10" s="10" t="s">
        <v>92</v>
      </c>
      <c r="C10" s="10" t="s">
        <v>77</v>
      </c>
      <c r="D10" s="10" t="s">
        <v>93</v>
      </c>
      <c r="E10" s="10" t="s">
        <v>94</v>
      </c>
      <c r="F10" s="10" t="s">
        <v>95</v>
      </c>
      <c r="G10" s="10" t="s">
        <v>96</v>
      </c>
      <c r="H10" s="10" t="s">
        <v>97</v>
      </c>
      <c r="I10" s="10" t="s">
        <v>98</v>
      </c>
      <c r="J10" s="10" t="s">
        <v>99</v>
      </c>
    </row>
    <row r="11" spans="1:10" s="11" customFormat="1" ht="28.5">
      <c r="A11" s="10" t="s">
        <v>68</v>
      </c>
      <c r="B11" s="10" t="s">
        <v>100</v>
      </c>
      <c r="C11" s="10" t="s">
        <v>101</v>
      </c>
      <c r="D11" s="10" t="s">
        <v>102</v>
      </c>
      <c r="E11" s="10" t="s">
        <v>103</v>
      </c>
      <c r="F11" s="10" t="s">
        <v>104</v>
      </c>
      <c r="G11" s="10" t="s">
        <v>105</v>
      </c>
      <c r="H11" s="10" t="s">
        <v>43</v>
      </c>
      <c r="I11" s="10" t="s">
        <v>106</v>
      </c>
      <c r="J11" s="10" t="s">
        <v>107</v>
      </c>
    </row>
    <row r="12" spans="1:10" s="11" customFormat="1" ht="42.75">
      <c r="A12" s="10" t="s">
        <v>68</v>
      </c>
      <c r="B12" s="10" t="s">
        <v>108</v>
      </c>
      <c r="C12" s="10" t="s">
        <v>109</v>
      </c>
      <c r="D12" s="10" t="s">
        <v>110</v>
      </c>
      <c r="E12" s="10" t="s">
        <v>111</v>
      </c>
      <c r="F12" s="10" t="s">
        <v>80</v>
      </c>
      <c r="G12" s="10" t="s">
        <v>112</v>
      </c>
      <c r="H12" s="10" t="s">
        <v>113</v>
      </c>
      <c r="I12" s="10" t="s">
        <v>114</v>
      </c>
      <c r="J12" s="10" t="s">
        <v>115</v>
      </c>
    </row>
    <row r="13" spans="1:10" s="11" customFormat="1" ht="28.5">
      <c r="A13" s="10" t="s">
        <v>68</v>
      </c>
      <c r="B13" s="10" t="s">
        <v>116</v>
      </c>
      <c r="C13" s="10" t="s">
        <v>109</v>
      </c>
      <c r="D13" s="10" t="s">
        <v>117</v>
      </c>
      <c r="E13" s="10" t="s">
        <v>118</v>
      </c>
      <c r="F13" s="10" t="s">
        <v>63</v>
      </c>
      <c r="G13" s="10" t="s">
        <v>119</v>
      </c>
      <c r="H13" s="10" t="s">
        <v>120</v>
      </c>
      <c r="I13" s="10" t="s">
        <v>121</v>
      </c>
      <c r="J13" s="10" t="s">
        <v>122</v>
      </c>
    </row>
    <row r="14" spans="1:10" s="11" customFormat="1" ht="28.5">
      <c r="A14" s="10" t="s">
        <v>68</v>
      </c>
      <c r="B14" s="10" t="s">
        <v>123</v>
      </c>
      <c r="C14" s="10" t="s">
        <v>124</v>
      </c>
      <c r="D14" s="10" t="s">
        <v>125</v>
      </c>
      <c r="E14" s="10" t="s">
        <v>126</v>
      </c>
      <c r="F14" s="10" t="s">
        <v>80</v>
      </c>
      <c r="G14" s="10" t="s">
        <v>127</v>
      </c>
      <c r="H14" s="10" t="s">
        <v>43</v>
      </c>
      <c r="I14" s="10" t="s">
        <v>128</v>
      </c>
      <c r="J14" s="10" t="s">
        <v>129</v>
      </c>
    </row>
    <row r="15" spans="1:10" s="13" customFormat="1" ht="28.5">
      <c r="A15" s="12" t="s">
        <v>130</v>
      </c>
      <c r="B15" s="12" t="s">
        <v>131</v>
      </c>
      <c r="C15" s="12" t="s">
        <v>132</v>
      </c>
      <c r="D15" s="12" t="s">
        <v>133</v>
      </c>
      <c r="E15" s="12" t="s">
        <v>134</v>
      </c>
      <c r="F15" s="12" t="s">
        <v>135</v>
      </c>
      <c r="G15" s="12" t="s">
        <v>136</v>
      </c>
      <c r="H15" s="12" t="s">
        <v>43</v>
      </c>
      <c r="I15" s="12" t="s">
        <v>137</v>
      </c>
      <c r="J15" s="12" t="s">
        <v>138</v>
      </c>
    </row>
    <row r="16" spans="1:10" s="13" customFormat="1" ht="42.75">
      <c r="A16" s="12" t="s">
        <v>130</v>
      </c>
      <c r="B16" s="12" t="s">
        <v>139</v>
      </c>
      <c r="C16" s="12" t="s">
        <v>140</v>
      </c>
      <c r="D16" s="12" t="s">
        <v>141</v>
      </c>
      <c r="E16" s="12" t="s">
        <v>142</v>
      </c>
      <c r="F16" s="12" t="s">
        <v>49</v>
      </c>
      <c r="G16" s="12" t="s">
        <v>143</v>
      </c>
      <c r="H16" s="12" t="s">
        <v>144</v>
      </c>
      <c r="I16" s="12" t="s">
        <v>145</v>
      </c>
      <c r="J16" s="12" t="s">
        <v>146</v>
      </c>
    </row>
    <row r="17" spans="1:10" s="13" customFormat="1" ht="42.75">
      <c r="A17" s="12" t="s">
        <v>130</v>
      </c>
      <c r="B17" s="12" t="s">
        <v>147</v>
      </c>
      <c r="C17" s="12" t="s">
        <v>140</v>
      </c>
      <c r="D17" s="12" t="s">
        <v>148</v>
      </c>
      <c r="E17" s="12" t="s">
        <v>149</v>
      </c>
      <c r="F17" s="12" t="s">
        <v>63</v>
      </c>
      <c r="G17" s="12" t="s">
        <v>150</v>
      </c>
      <c r="H17" s="12" t="s">
        <v>144</v>
      </c>
      <c r="I17" s="12" t="s">
        <v>151</v>
      </c>
      <c r="J17" s="12" t="s">
        <v>152</v>
      </c>
    </row>
    <row r="18" spans="1:10" s="13" customFormat="1" ht="28.5">
      <c r="A18" s="12" t="s">
        <v>130</v>
      </c>
      <c r="B18" s="12" t="s">
        <v>153</v>
      </c>
      <c r="C18" s="12" t="s">
        <v>140</v>
      </c>
      <c r="D18" s="12" t="s">
        <v>154</v>
      </c>
      <c r="E18" s="12" t="s">
        <v>155</v>
      </c>
      <c r="F18" s="12" t="s">
        <v>63</v>
      </c>
      <c r="G18" s="12" t="s">
        <v>156</v>
      </c>
      <c r="H18" s="12" t="s">
        <v>157</v>
      </c>
      <c r="I18" s="12" t="s">
        <v>158</v>
      </c>
      <c r="J18" s="12" t="s">
        <v>159</v>
      </c>
    </row>
    <row r="19" spans="1:10" s="13" customFormat="1" ht="42.75">
      <c r="A19" s="12" t="s">
        <v>130</v>
      </c>
      <c r="B19" s="12" t="s">
        <v>160</v>
      </c>
      <c r="C19" s="12" t="s">
        <v>140</v>
      </c>
      <c r="D19" s="12" t="s">
        <v>161</v>
      </c>
      <c r="E19" s="12" t="s">
        <v>155</v>
      </c>
      <c r="F19" s="12" t="s">
        <v>162</v>
      </c>
      <c r="G19" s="12" t="s">
        <v>163</v>
      </c>
      <c r="H19" s="12" t="s">
        <v>43</v>
      </c>
      <c r="I19" s="12" t="s">
        <v>164</v>
      </c>
      <c r="J19" s="12" t="s">
        <v>138</v>
      </c>
    </row>
    <row r="20" spans="1:10" s="13" customFormat="1" ht="28.5">
      <c r="A20" s="12" t="s">
        <v>130</v>
      </c>
      <c r="B20" s="12" t="s">
        <v>165</v>
      </c>
      <c r="C20" s="12" t="s">
        <v>140</v>
      </c>
      <c r="D20" s="12" t="s">
        <v>166</v>
      </c>
      <c r="E20" s="12" t="s">
        <v>167</v>
      </c>
      <c r="F20" s="12" t="s">
        <v>49</v>
      </c>
      <c r="G20" s="12" t="s">
        <v>168</v>
      </c>
      <c r="H20" s="12" t="s">
        <v>144</v>
      </c>
      <c r="I20" s="12" t="s">
        <v>169</v>
      </c>
      <c r="J20" s="12" t="s">
        <v>170</v>
      </c>
    </row>
    <row r="21" spans="1:10" ht="42.75">
      <c r="A21" s="3" t="s">
        <v>130</v>
      </c>
      <c r="B21" s="3" t="s">
        <v>171</v>
      </c>
      <c r="C21" s="3" t="s">
        <v>30</v>
      </c>
      <c r="D21" s="3" t="s">
        <v>172</v>
      </c>
      <c r="E21" s="3" t="s">
        <v>173</v>
      </c>
      <c r="F21" s="3" t="s">
        <v>174</v>
      </c>
      <c r="G21" s="3" t="s">
        <v>175</v>
      </c>
      <c r="H21" s="3" t="s">
        <v>176</v>
      </c>
      <c r="I21" s="3" t="s">
        <v>177</v>
      </c>
      <c r="J21" s="3" t="s">
        <v>178</v>
      </c>
    </row>
    <row r="22" spans="1:10" ht="42.75">
      <c r="A22" s="3" t="s">
        <v>179</v>
      </c>
      <c r="B22" s="3" t="s">
        <v>76</v>
      </c>
      <c r="C22" s="3" t="s">
        <v>180</v>
      </c>
      <c r="D22" s="3" t="s">
        <v>181</v>
      </c>
      <c r="E22" s="3" t="s">
        <v>182</v>
      </c>
      <c r="F22" s="3" t="s">
        <v>80</v>
      </c>
      <c r="G22" s="3" t="s">
        <v>183</v>
      </c>
      <c r="H22" s="3" t="s">
        <v>43</v>
      </c>
      <c r="I22" s="3" t="s">
        <v>184</v>
      </c>
      <c r="J22" s="3" t="s">
        <v>185</v>
      </c>
    </row>
    <row r="23" spans="1:10" ht="42.75">
      <c r="A23" s="3" t="s">
        <v>179</v>
      </c>
      <c r="B23" s="3" t="s">
        <v>186</v>
      </c>
      <c r="C23" s="3" t="s">
        <v>30</v>
      </c>
      <c r="D23" s="3" t="s">
        <v>187</v>
      </c>
      <c r="E23" s="3" t="s">
        <v>188</v>
      </c>
      <c r="F23" s="3" t="s">
        <v>189</v>
      </c>
      <c r="G23" s="3" t="s">
        <v>190</v>
      </c>
      <c r="H23" s="3" t="s">
        <v>191</v>
      </c>
      <c r="I23" s="3" t="s">
        <v>192</v>
      </c>
      <c r="J23" s="3" t="s">
        <v>138</v>
      </c>
    </row>
    <row r="24" spans="1:10" ht="28.5">
      <c r="A24" s="3" t="s">
        <v>179</v>
      </c>
      <c r="B24" s="3" t="s">
        <v>193</v>
      </c>
      <c r="C24" s="3" t="s">
        <v>30</v>
      </c>
      <c r="D24" s="3" t="s">
        <v>194</v>
      </c>
      <c r="E24" s="3" t="s">
        <v>195</v>
      </c>
      <c r="F24" s="3" t="s">
        <v>189</v>
      </c>
      <c r="G24" s="3" t="s">
        <v>196</v>
      </c>
      <c r="H24" s="3" t="s">
        <v>144</v>
      </c>
      <c r="I24" s="3" t="s">
        <v>197</v>
      </c>
      <c r="J24" s="3" t="s">
        <v>45</v>
      </c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workbookViewId="0"/>
  </sheetViews>
  <sheetFormatPr defaultRowHeight="14.25"/>
  <cols>
    <col min="1" max="1" width="14" customWidth="1"/>
    <col min="2" max="2" width="26" customWidth="1"/>
    <col min="3" max="3" width="16" customWidth="1"/>
    <col min="4" max="4" width="28" customWidth="1"/>
    <col min="5" max="5" width="36" customWidth="1"/>
    <col min="6" max="6" width="34" customWidth="1"/>
    <col min="7" max="7" width="28" customWidth="1"/>
    <col min="8" max="8" width="24" customWidth="1"/>
    <col min="9" max="9" width="30" customWidth="1"/>
    <col min="10" max="10" width="24" customWidth="1"/>
    <col min="11" max="11" width="60" customWidth="1"/>
  </cols>
  <sheetData>
    <row r="1" spans="1:11" ht="30" customHeight="1">
      <c r="A1" s="4" t="s">
        <v>198</v>
      </c>
      <c r="B1" s="4" t="s">
        <v>199</v>
      </c>
      <c r="C1" s="4" t="s">
        <v>200</v>
      </c>
      <c r="D1" s="4" t="s">
        <v>201</v>
      </c>
      <c r="E1" s="4" t="s">
        <v>202</v>
      </c>
      <c r="F1" s="4" t="s">
        <v>203</v>
      </c>
      <c r="G1" s="4" t="s">
        <v>204</v>
      </c>
      <c r="H1" s="4" t="s">
        <v>15</v>
      </c>
      <c r="I1" s="4" t="s">
        <v>205</v>
      </c>
      <c r="J1" s="4" t="s">
        <v>206</v>
      </c>
      <c r="K1" s="4" t="s">
        <v>207</v>
      </c>
    </row>
    <row r="2" spans="1:11" ht="42.75">
      <c r="A2" s="3" t="s">
        <v>208</v>
      </c>
      <c r="B2" s="3" t="s">
        <v>209</v>
      </c>
      <c r="C2" s="3" t="s">
        <v>30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216</v>
      </c>
      <c r="K2" s="3" t="s">
        <v>217</v>
      </c>
    </row>
    <row r="3" spans="1:11" ht="42.75">
      <c r="A3" s="3" t="s">
        <v>208</v>
      </c>
      <c r="B3" s="3" t="s">
        <v>218</v>
      </c>
      <c r="C3" s="3" t="s">
        <v>30</v>
      </c>
      <c r="D3" s="3" t="s">
        <v>219</v>
      </c>
      <c r="E3" s="3" t="s">
        <v>220</v>
      </c>
      <c r="F3" s="3" t="s">
        <v>221</v>
      </c>
      <c r="G3" s="3" t="s">
        <v>222</v>
      </c>
      <c r="H3" s="3" t="s">
        <v>214</v>
      </c>
      <c r="I3" s="3" t="s">
        <v>215</v>
      </c>
      <c r="J3" s="3" t="s">
        <v>216</v>
      </c>
      <c r="K3" s="3" t="s">
        <v>223</v>
      </c>
    </row>
    <row r="4" spans="1:11" ht="28.5">
      <c r="A4" s="3" t="s">
        <v>224</v>
      </c>
      <c r="B4" s="3" t="s">
        <v>225</v>
      </c>
      <c r="C4" s="3" t="s">
        <v>30</v>
      </c>
      <c r="D4" s="3" t="s">
        <v>226</v>
      </c>
      <c r="E4" s="3" t="s">
        <v>227</v>
      </c>
      <c r="F4" s="3" t="s">
        <v>228</v>
      </c>
      <c r="G4" s="3" t="s">
        <v>229</v>
      </c>
      <c r="H4" s="3" t="s">
        <v>51</v>
      </c>
      <c r="I4" s="3" t="s">
        <v>230</v>
      </c>
      <c r="J4" s="3" t="s">
        <v>231</v>
      </c>
      <c r="K4" s="3" t="s">
        <v>232</v>
      </c>
    </row>
    <row r="5" spans="1:11" ht="42.75">
      <c r="A5" s="3" t="s">
        <v>224</v>
      </c>
      <c r="B5" s="3" t="s">
        <v>233</v>
      </c>
      <c r="C5" s="3" t="s">
        <v>30</v>
      </c>
      <c r="D5" s="3" t="s">
        <v>234</v>
      </c>
      <c r="E5" s="3" t="s">
        <v>235</v>
      </c>
      <c r="F5" s="3" t="s">
        <v>236</v>
      </c>
      <c r="G5" s="3" t="s">
        <v>237</v>
      </c>
      <c r="H5" s="3" t="s">
        <v>144</v>
      </c>
      <c r="I5" s="3" t="s">
        <v>238</v>
      </c>
      <c r="J5" s="3" t="s">
        <v>239</v>
      </c>
      <c r="K5" s="3" t="s">
        <v>240</v>
      </c>
    </row>
    <row r="6" spans="1:11" ht="42.75">
      <c r="A6" s="3" t="s">
        <v>224</v>
      </c>
      <c r="B6" s="3" t="s">
        <v>241</v>
      </c>
      <c r="C6" s="3" t="s">
        <v>140</v>
      </c>
      <c r="D6" s="3" t="s">
        <v>234</v>
      </c>
      <c r="E6" s="3" t="s">
        <v>242</v>
      </c>
      <c r="F6" s="3" t="s">
        <v>243</v>
      </c>
      <c r="G6" s="3" t="s">
        <v>244</v>
      </c>
      <c r="H6" s="3" t="s">
        <v>144</v>
      </c>
      <c r="I6" s="3" t="s">
        <v>245</v>
      </c>
      <c r="J6" s="3" t="s">
        <v>246</v>
      </c>
      <c r="K6" s="3" t="s">
        <v>247</v>
      </c>
    </row>
    <row r="7" spans="1:11" ht="42.75">
      <c r="A7" s="3" t="s">
        <v>208</v>
      </c>
      <c r="B7" s="3" t="s">
        <v>248</v>
      </c>
      <c r="C7" s="3" t="s">
        <v>140</v>
      </c>
      <c r="D7" s="3" t="s">
        <v>249</v>
      </c>
      <c r="E7" s="3" t="s">
        <v>250</v>
      </c>
      <c r="F7" s="3" t="s">
        <v>251</v>
      </c>
      <c r="G7" s="3" t="s">
        <v>252</v>
      </c>
      <c r="H7" s="3" t="s">
        <v>144</v>
      </c>
      <c r="I7" s="3" t="s">
        <v>253</v>
      </c>
      <c r="J7" s="3" t="s">
        <v>254</v>
      </c>
      <c r="K7" s="3" t="s">
        <v>255</v>
      </c>
    </row>
    <row r="8" spans="1:11" ht="28.5">
      <c r="A8" s="3" t="s">
        <v>208</v>
      </c>
      <c r="B8" s="3" t="s">
        <v>256</v>
      </c>
      <c r="C8" s="3" t="s">
        <v>140</v>
      </c>
      <c r="D8" s="3" t="s">
        <v>257</v>
      </c>
      <c r="E8" s="3" t="s">
        <v>258</v>
      </c>
      <c r="F8" s="3" t="s">
        <v>259</v>
      </c>
      <c r="G8" s="3" t="s">
        <v>150</v>
      </c>
      <c r="H8" s="3" t="s">
        <v>144</v>
      </c>
      <c r="I8" s="3" t="s">
        <v>260</v>
      </c>
      <c r="J8" s="3" t="s">
        <v>254</v>
      </c>
      <c r="K8" s="3" t="s">
        <v>261</v>
      </c>
    </row>
    <row r="9" spans="1:11" ht="28.5">
      <c r="A9" s="3" t="s">
        <v>224</v>
      </c>
      <c r="B9" s="3" t="s">
        <v>262</v>
      </c>
      <c r="C9" s="3" t="s">
        <v>140</v>
      </c>
      <c r="D9" s="3" t="s">
        <v>263</v>
      </c>
      <c r="E9" s="3" t="s">
        <v>264</v>
      </c>
      <c r="F9" s="3" t="s">
        <v>265</v>
      </c>
      <c r="G9" s="3" t="s">
        <v>266</v>
      </c>
      <c r="H9" s="3" t="s">
        <v>144</v>
      </c>
      <c r="I9" s="3" t="s">
        <v>267</v>
      </c>
      <c r="J9" s="3" t="s">
        <v>268</v>
      </c>
      <c r="K9" s="3" t="s">
        <v>269</v>
      </c>
    </row>
    <row r="10" spans="1:11" ht="28.5">
      <c r="A10" s="3" t="s">
        <v>224</v>
      </c>
      <c r="B10" s="3" t="s">
        <v>270</v>
      </c>
      <c r="C10" s="3" t="s">
        <v>140</v>
      </c>
      <c r="D10" s="3" t="s">
        <v>234</v>
      </c>
      <c r="E10" s="3" t="s">
        <v>271</v>
      </c>
      <c r="F10" s="3" t="s">
        <v>272</v>
      </c>
      <c r="G10" s="3" t="s">
        <v>273</v>
      </c>
      <c r="H10" s="3" t="s">
        <v>144</v>
      </c>
      <c r="I10" s="3" t="s">
        <v>274</v>
      </c>
      <c r="J10" s="3" t="s">
        <v>275</v>
      </c>
      <c r="K10" s="3" t="s">
        <v>276</v>
      </c>
    </row>
    <row r="11" spans="1:11" ht="28.5">
      <c r="A11" s="3" t="s">
        <v>277</v>
      </c>
      <c r="B11" s="3" t="s">
        <v>278</v>
      </c>
      <c r="C11" s="3" t="s">
        <v>30</v>
      </c>
      <c r="D11" s="3" t="s">
        <v>263</v>
      </c>
      <c r="E11" s="3" t="s">
        <v>279</v>
      </c>
      <c r="F11" s="3" t="s">
        <v>280</v>
      </c>
      <c r="G11" s="3" t="s">
        <v>281</v>
      </c>
      <c r="H11" s="3" t="s">
        <v>144</v>
      </c>
      <c r="I11" s="3" t="s">
        <v>282</v>
      </c>
      <c r="J11" s="3" t="s">
        <v>283</v>
      </c>
      <c r="K11" s="3" t="s">
        <v>284</v>
      </c>
    </row>
    <row r="12" spans="1:11" ht="28.5">
      <c r="A12" s="3" t="s">
        <v>224</v>
      </c>
      <c r="B12" s="3" t="s">
        <v>285</v>
      </c>
      <c r="C12" s="3" t="s">
        <v>140</v>
      </c>
      <c r="D12" s="3" t="s">
        <v>263</v>
      </c>
      <c r="E12" s="3" t="s">
        <v>286</v>
      </c>
      <c r="F12" s="3" t="s">
        <v>287</v>
      </c>
      <c r="G12" s="3" t="s">
        <v>288</v>
      </c>
      <c r="H12" s="3" t="s">
        <v>144</v>
      </c>
      <c r="I12" s="3" t="s">
        <v>289</v>
      </c>
      <c r="J12" s="3" t="s">
        <v>268</v>
      </c>
      <c r="K12" s="3" t="s">
        <v>290</v>
      </c>
    </row>
    <row r="13" spans="1:11" ht="42.75">
      <c r="A13" s="3" t="s">
        <v>208</v>
      </c>
      <c r="B13" s="3" t="s">
        <v>291</v>
      </c>
      <c r="C13" s="3" t="s">
        <v>77</v>
      </c>
      <c r="D13" s="3" t="s">
        <v>292</v>
      </c>
      <c r="E13" s="3" t="s">
        <v>293</v>
      </c>
      <c r="F13" s="3" t="s">
        <v>294</v>
      </c>
      <c r="G13" s="3" t="s">
        <v>295</v>
      </c>
      <c r="H13" s="3" t="s">
        <v>82</v>
      </c>
      <c r="I13" s="3" t="s">
        <v>296</v>
      </c>
      <c r="J13" s="3" t="s">
        <v>297</v>
      </c>
      <c r="K13" s="3" t="s">
        <v>298</v>
      </c>
    </row>
    <row r="14" spans="1:11" ht="28.5">
      <c r="A14" s="3" t="s">
        <v>208</v>
      </c>
      <c r="B14" s="3" t="s">
        <v>299</v>
      </c>
      <c r="C14" s="3" t="s">
        <v>77</v>
      </c>
      <c r="D14" s="3" t="s">
        <v>300</v>
      </c>
      <c r="E14" s="3" t="s">
        <v>301</v>
      </c>
      <c r="F14" s="3" t="s">
        <v>302</v>
      </c>
      <c r="G14" s="3" t="s">
        <v>303</v>
      </c>
      <c r="H14" s="3" t="s">
        <v>82</v>
      </c>
      <c r="I14" s="3" t="s">
        <v>304</v>
      </c>
      <c r="J14" s="3" t="s">
        <v>305</v>
      </c>
      <c r="K14" s="3" t="s">
        <v>306</v>
      </c>
    </row>
    <row r="15" spans="1:11" ht="28.5">
      <c r="A15" s="3" t="s">
        <v>208</v>
      </c>
      <c r="B15" s="3" t="s">
        <v>307</v>
      </c>
      <c r="C15" s="3" t="s">
        <v>77</v>
      </c>
      <c r="D15" s="3" t="s">
        <v>308</v>
      </c>
      <c r="E15" s="3" t="s">
        <v>309</v>
      </c>
      <c r="F15" s="3" t="s">
        <v>310</v>
      </c>
      <c r="G15" s="3" t="s">
        <v>89</v>
      </c>
      <c r="H15" s="3" t="s">
        <v>82</v>
      </c>
      <c r="I15" s="3" t="s">
        <v>311</v>
      </c>
      <c r="J15" s="3" t="s">
        <v>305</v>
      </c>
      <c r="K15" s="3" t="s">
        <v>312</v>
      </c>
    </row>
    <row r="16" spans="1:11" ht="28.5">
      <c r="A16" s="3" t="s">
        <v>224</v>
      </c>
      <c r="B16" s="3" t="s">
        <v>313</v>
      </c>
      <c r="C16" s="3" t="s">
        <v>77</v>
      </c>
      <c r="D16" s="3" t="s">
        <v>314</v>
      </c>
      <c r="E16" s="3" t="s">
        <v>315</v>
      </c>
      <c r="F16" s="3" t="s">
        <v>316</v>
      </c>
      <c r="G16" s="3" t="s">
        <v>89</v>
      </c>
      <c r="H16" s="3" t="s">
        <v>82</v>
      </c>
      <c r="I16" s="3" t="s">
        <v>311</v>
      </c>
      <c r="J16" s="3" t="s">
        <v>305</v>
      </c>
      <c r="K16" s="3" t="s">
        <v>317</v>
      </c>
    </row>
    <row r="17" spans="1:11" ht="28.5">
      <c r="A17" s="3" t="s">
        <v>208</v>
      </c>
      <c r="B17" s="3" t="s">
        <v>318</v>
      </c>
      <c r="C17" s="3" t="s">
        <v>109</v>
      </c>
      <c r="D17" s="3" t="s">
        <v>319</v>
      </c>
      <c r="E17" s="3" t="s">
        <v>320</v>
      </c>
      <c r="F17" s="3" t="s">
        <v>321</v>
      </c>
      <c r="G17" s="3" t="s">
        <v>89</v>
      </c>
      <c r="H17" s="3" t="s">
        <v>322</v>
      </c>
      <c r="I17" s="3" t="s">
        <v>311</v>
      </c>
      <c r="J17" s="3" t="s">
        <v>323</v>
      </c>
      <c r="K17" s="3" t="s">
        <v>324</v>
      </c>
    </row>
    <row r="18" spans="1:11" ht="28.5">
      <c r="A18" s="3" t="s">
        <v>208</v>
      </c>
      <c r="B18" s="3" t="s">
        <v>325</v>
      </c>
      <c r="C18" s="3" t="s">
        <v>109</v>
      </c>
      <c r="D18" s="3" t="s">
        <v>326</v>
      </c>
      <c r="E18" s="3" t="s">
        <v>327</v>
      </c>
      <c r="F18" s="3" t="s">
        <v>328</v>
      </c>
      <c r="G18" s="3" t="s">
        <v>329</v>
      </c>
      <c r="H18" s="3" t="s">
        <v>330</v>
      </c>
      <c r="I18" s="3" t="s">
        <v>331</v>
      </c>
      <c r="J18" s="3" t="s">
        <v>332</v>
      </c>
      <c r="K18" s="3" t="s">
        <v>333</v>
      </c>
    </row>
    <row r="19" spans="1:11" ht="28.5">
      <c r="A19" s="3" t="s">
        <v>224</v>
      </c>
      <c r="B19" s="3" t="s">
        <v>334</v>
      </c>
      <c r="C19" s="3" t="s">
        <v>109</v>
      </c>
      <c r="D19" s="3" t="s">
        <v>263</v>
      </c>
      <c r="E19" s="3" t="s">
        <v>335</v>
      </c>
      <c r="F19" s="3" t="s">
        <v>336</v>
      </c>
      <c r="G19" s="3" t="s">
        <v>337</v>
      </c>
      <c r="H19" s="3" t="s">
        <v>120</v>
      </c>
      <c r="I19" s="3" t="s">
        <v>311</v>
      </c>
      <c r="J19" s="3" t="s">
        <v>338</v>
      </c>
      <c r="K19" s="3" t="s">
        <v>339</v>
      </c>
    </row>
    <row r="20" spans="1:11" ht="28.5">
      <c r="A20" s="3" t="s">
        <v>224</v>
      </c>
      <c r="B20" s="3" t="s">
        <v>340</v>
      </c>
      <c r="C20" s="3" t="s">
        <v>109</v>
      </c>
      <c r="D20" s="3" t="s">
        <v>263</v>
      </c>
      <c r="E20" s="3" t="s">
        <v>341</v>
      </c>
      <c r="F20" s="3" t="s">
        <v>342</v>
      </c>
      <c r="G20" s="3" t="s">
        <v>89</v>
      </c>
      <c r="H20" s="3" t="s">
        <v>214</v>
      </c>
      <c r="I20" s="3" t="s">
        <v>343</v>
      </c>
      <c r="J20" s="3" t="s">
        <v>344</v>
      </c>
      <c r="K20" s="3" t="s">
        <v>345</v>
      </c>
    </row>
    <row r="21" spans="1:11" ht="28.5">
      <c r="A21" s="3" t="s">
        <v>224</v>
      </c>
      <c r="B21" s="3" t="s">
        <v>346</v>
      </c>
      <c r="C21" s="3" t="s">
        <v>109</v>
      </c>
      <c r="D21" s="3" t="s">
        <v>263</v>
      </c>
      <c r="E21" s="3" t="s">
        <v>347</v>
      </c>
      <c r="F21" s="3" t="s">
        <v>348</v>
      </c>
      <c r="G21" s="3" t="s">
        <v>349</v>
      </c>
      <c r="H21" s="3" t="s">
        <v>214</v>
      </c>
      <c r="I21" s="3" t="s">
        <v>350</v>
      </c>
      <c r="J21" s="3" t="s">
        <v>344</v>
      </c>
      <c r="K21" s="3" t="s">
        <v>351</v>
      </c>
    </row>
    <row r="22" spans="1:11" ht="28.5">
      <c r="A22" s="3" t="s">
        <v>224</v>
      </c>
      <c r="B22" s="3" t="s">
        <v>352</v>
      </c>
      <c r="C22" s="3" t="s">
        <v>109</v>
      </c>
      <c r="D22" s="3" t="s">
        <v>263</v>
      </c>
      <c r="E22" s="3" t="s">
        <v>353</v>
      </c>
      <c r="F22" s="3" t="s">
        <v>354</v>
      </c>
      <c r="G22" s="3" t="s">
        <v>337</v>
      </c>
      <c r="H22" s="3" t="s">
        <v>120</v>
      </c>
      <c r="I22" s="3" t="s">
        <v>355</v>
      </c>
      <c r="J22" s="3" t="s">
        <v>356</v>
      </c>
      <c r="K22" s="3" t="s">
        <v>357</v>
      </c>
    </row>
    <row r="23" spans="1:11" ht="28.5">
      <c r="A23" s="3" t="s">
        <v>277</v>
      </c>
      <c r="B23" s="3" t="s">
        <v>358</v>
      </c>
      <c r="C23" s="3" t="s">
        <v>109</v>
      </c>
      <c r="D23" s="3" t="s">
        <v>263</v>
      </c>
      <c r="E23" s="3" t="s">
        <v>359</v>
      </c>
      <c r="F23" s="3" t="s">
        <v>360</v>
      </c>
      <c r="G23" s="3" t="s">
        <v>361</v>
      </c>
      <c r="H23" s="3" t="s">
        <v>144</v>
      </c>
      <c r="I23" s="3" t="s">
        <v>362</v>
      </c>
      <c r="J23" s="3" t="s">
        <v>363</v>
      </c>
      <c r="K23" s="3" t="s">
        <v>364</v>
      </c>
    </row>
    <row r="24" spans="1:11" ht="42.75">
      <c r="A24" s="3" t="s">
        <v>224</v>
      </c>
      <c r="B24" s="3" t="s">
        <v>365</v>
      </c>
      <c r="C24" s="3" t="s">
        <v>366</v>
      </c>
      <c r="D24" s="3" t="s">
        <v>263</v>
      </c>
      <c r="E24" s="3" t="s">
        <v>367</v>
      </c>
      <c r="F24" s="3" t="s">
        <v>368</v>
      </c>
      <c r="G24" s="3" t="s">
        <v>369</v>
      </c>
      <c r="H24" s="3" t="s">
        <v>43</v>
      </c>
      <c r="I24" s="3" t="s">
        <v>370</v>
      </c>
      <c r="J24" s="3" t="s">
        <v>371</v>
      </c>
      <c r="K24" s="3" t="s">
        <v>372</v>
      </c>
    </row>
    <row r="25" spans="1:11" ht="28.5">
      <c r="A25" s="3" t="s">
        <v>277</v>
      </c>
      <c r="B25" s="3" t="s">
        <v>373</v>
      </c>
      <c r="C25" s="3" t="s">
        <v>374</v>
      </c>
      <c r="D25" s="3" t="s">
        <v>375</v>
      </c>
      <c r="E25" s="3" t="s">
        <v>376</v>
      </c>
      <c r="F25" s="3" t="s">
        <v>377</v>
      </c>
      <c r="G25" s="3" t="s">
        <v>378</v>
      </c>
      <c r="H25" s="3" t="s">
        <v>43</v>
      </c>
      <c r="I25" s="3" t="s">
        <v>379</v>
      </c>
      <c r="J25" s="3" t="s">
        <v>380</v>
      </c>
      <c r="K25" s="3" t="s">
        <v>381</v>
      </c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</sheetData>
  <conditionalFormatting sqref="A2:A25">
    <cfRule type="expression" dxfId="3" priority="1">
      <formula>$A2="Alta"</formula>
    </cfRule>
  </conditionalFormatting>
  <conditionalFormatting sqref="H2:H25">
    <cfRule type="expression" dxfId="2" priority="2">
      <formula>ISNUMBER(SEARCH("confirmar",$H2))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/>
  </sheetViews>
  <sheetFormatPr defaultRowHeight="14.25"/>
  <cols>
    <col min="1" max="1" width="28" customWidth="1"/>
    <col min="2" max="2" width="18" customWidth="1"/>
    <col min="3" max="3" width="44" customWidth="1"/>
    <col min="4" max="5" width="40" customWidth="1"/>
    <col min="6" max="6" width="60" customWidth="1"/>
  </cols>
  <sheetData>
    <row r="1" spans="1:6" ht="30" customHeight="1">
      <c r="A1" s="4" t="s">
        <v>382</v>
      </c>
      <c r="B1" s="4" t="s">
        <v>383</v>
      </c>
      <c r="C1" s="4" t="s">
        <v>384</v>
      </c>
      <c r="D1" s="4" t="s">
        <v>385</v>
      </c>
      <c r="E1" s="4" t="s">
        <v>386</v>
      </c>
      <c r="F1" s="4" t="s">
        <v>207</v>
      </c>
    </row>
    <row r="2" spans="1:6" ht="57">
      <c r="A2" s="3" t="s">
        <v>387</v>
      </c>
      <c r="B2" s="3" t="s">
        <v>388</v>
      </c>
      <c r="C2" s="3" t="s">
        <v>389</v>
      </c>
      <c r="D2" s="3" t="s">
        <v>390</v>
      </c>
      <c r="E2" s="3" t="s">
        <v>391</v>
      </c>
      <c r="F2" s="3" t="s">
        <v>392</v>
      </c>
    </row>
    <row r="3" spans="1:6" ht="57">
      <c r="A3" s="3" t="s">
        <v>393</v>
      </c>
      <c r="B3" s="3" t="s">
        <v>11</v>
      </c>
      <c r="C3" s="3" t="s">
        <v>394</v>
      </c>
      <c r="D3" s="3" t="s">
        <v>395</v>
      </c>
      <c r="E3" s="3" t="s">
        <v>396</v>
      </c>
      <c r="F3" s="3" t="s">
        <v>397</v>
      </c>
    </row>
    <row r="4" spans="1:6" ht="28.5">
      <c r="A4" s="3" t="s">
        <v>398</v>
      </c>
      <c r="B4" s="3" t="s">
        <v>388</v>
      </c>
      <c r="C4" s="3" t="s">
        <v>399</v>
      </c>
      <c r="D4" s="3" t="s">
        <v>400</v>
      </c>
      <c r="E4" s="3" t="s">
        <v>401</v>
      </c>
      <c r="F4" s="3" t="s">
        <v>402</v>
      </c>
    </row>
    <row r="5" spans="1:6" ht="57">
      <c r="A5" s="3" t="s">
        <v>403</v>
      </c>
      <c r="B5" s="3" t="s">
        <v>404</v>
      </c>
      <c r="C5" s="3" t="s">
        <v>405</v>
      </c>
      <c r="D5" s="3" t="s">
        <v>406</v>
      </c>
      <c r="E5" s="3" t="s">
        <v>407</v>
      </c>
      <c r="F5" s="3" t="s">
        <v>408</v>
      </c>
    </row>
    <row r="6" spans="1:6" ht="71.25">
      <c r="A6" s="3" t="s">
        <v>409</v>
      </c>
      <c r="B6" s="3" t="s">
        <v>410</v>
      </c>
      <c r="C6" s="3" t="s">
        <v>411</v>
      </c>
      <c r="D6" s="3" t="s">
        <v>412</v>
      </c>
      <c r="E6" s="3" t="s">
        <v>413</v>
      </c>
      <c r="F6" s="3" t="s">
        <v>414</v>
      </c>
    </row>
    <row r="7" spans="1:6" ht="42.75">
      <c r="A7" s="3" t="s">
        <v>415</v>
      </c>
      <c r="B7" s="3" t="s">
        <v>416</v>
      </c>
      <c r="C7" s="3" t="s">
        <v>417</v>
      </c>
      <c r="D7" s="3" t="s">
        <v>418</v>
      </c>
      <c r="E7" s="3" t="s">
        <v>419</v>
      </c>
      <c r="F7" s="3" t="s">
        <v>420</v>
      </c>
    </row>
    <row r="8" spans="1:6" ht="42.75">
      <c r="A8" s="3" t="s">
        <v>421</v>
      </c>
      <c r="B8" s="3" t="s">
        <v>422</v>
      </c>
      <c r="C8" s="3" t="s">
        <v>423</v>
      </c>
      <c r="D8" s="3" t="s">
        <v>424</v>
      </c>
      <c r="E8" s="3" t="s">
        <v>425</v>
      </c>
      <c r="F8" s="3" t="s">
        <v>397</v>
      </c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conditionalFormatting sqref="B2:B8">
    <cfRule type="expression" dxfId="1" priority="1">
      <formula>ISNUMBER(SEARCH("Pendente",$B2))</formula>
    </cfRule>
    <cfRule type="expression" dxfId="0" priority="2">
      <formula>ISNUMBER(SEARCH("Confirmado",$B2))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/>
  </sheetViews>
  <sheetFormatPr defaultRowHeight="14.25"/>
  <cols>
    <col min="1" max="1" width="18" customWidth="1"/>
    <col min="2" max="2" width="34" customWidth="1"/>
    <col min="3" max="3" width="14" customWidth="1"/>
    <col min="4" max="4" width="22" customWidth="1"/>
    <col min="5" max="5" width="18" customWidth="1"/>
    <col min="6" max="6" width="50" customWidth="1"/>
  </cols>
  <sheetData>
    <row r="1" spans="1:6" ht="30" customHeight="1">
      <c r="A1" s="4" t="s">
        <v>426</v>
      </c>
      <c r="B1" s="4" t="s">
        <v>427</v>
      </c>
      <c r="C1" s="4" t="s">
        <v>428</v>
      </c>
      <c r="D1" s="4" t="s">
        <v>429</v>
      </c>
      <c r="E1" s="4" t="s">
        <v>430</v>
      </c>
      <c r="F1" s="4" t="s">
        <v>431</v>
      </c>
    </row>
    <row r="2" spans="1:6" ht="28.5">
      <c r="A2" s="3" t="s">
        <v>432</v>
      </c>
      <c r="B2" s="3" t="s">
        <v>433</v>
      </c>
      <c r="C2" s="3">
        <v>1</v>
      </c>
      <c r="D2" s="5">
        <v>200</v>
      </c>
      <c r="E2" s="5">
        <f>C2*D2</f>
        <v>200</v>
      </c>
      <c r="F2" s="3" t="s">
        <v>434</v>
      </c>
    </row>
    <row r="3" spans="1:6">
      <c r="A3" s="3" t="s">
        <v>432</v>
      </c>
      <c r="B3" s="3" t="s">
        <v>435</v>
      </c>
      <c r="C3" s="3">
        <v>1</v>
      </c>
      <c r="D3" s="5">
        <v>-72</v>
      </c>
      <c r="E3" s="5">
        <f>C3*D3</f>
        <v>-72</v>
      </c>
      <c r="F3" s="3" t="s">
        <v>436</v>
      </c>
    </row>
    <row r="4" spans="1:6" ht="28.5">
      <c r="A4" s="3" t="s">
        <v>432</v>
      </c>
      <c r="B4" s="3" t="s">
        <v>437</v>
      </c>
      <c r="C4" s="3">
        <v>1</v>
      </c>
      <c r="D4" s="5">
        <v>-289.89999999999998</v>
      </c>
      <c r="E4" s="5">
        <f>C4*D4</f>
        <v>-289.89999999999998</v>
      </c>
      <c r="F4" s="3" t="s">
        <v>438</v>
      </c>
    </row>
    <row r="5" spans="1:6" ht="28.5">
      <c r="A5" s="3" t="s">
        <v>432</v>
      </c>
      <c r="B5" s="3" t="s">
        <v>439</v>
      </c>
      <c r="C5" s="3">
        <v>1</v>
      </c>
      <c r="D5" s="5">
        <f>SUM(E2:E4)</f>
        <v>-161.89999999999998</v>
      </c>
      <c r="E5" s="5">
        <f>D5</f>
        <v>-161.89999999999998</v>
      </c>
      <c r="F5" s="3" t="s">
        <v>440</v>
      </c>
    </row>
    <row r="6" spans="1:6" ht="28.5">
      <c r="A6" s="3" t="s">
        <v>441</v>
      </c>
      <c r="B6" s="3" t="s">
        <v>442</v>
      </c>
      <c r="C6" s="3">
        <v>1</v>
      </c>
      <c r="D6" s="5">
        <v>250</v>
      </c>
      <c r="E6" s="5">
        <f t="shared" ref="E6:E11" si="0">C6*D6</f>
        <v>250</v>
      </c>
      <c r="F6" s="3" t="s">
        <v>443</v>
      </c>
    </row>
    <row r="7" spans="1:6">
      <c r="A7" s="3" t="s">
        <v>441</v>
      </c>
      <c r="B7" s="3" t="s">
        <v>444</v>
      </c>
      <c r="C7" s="3">
        <v>2</v>
      </c>
      <c r="D7" s="5">
        <v>80</v>
      </c>
      <c r="E7" s="5">
        <f t="shared" si="0"/>
        <v>160</v>
      </c>
      <c r="F7" s="3" t="s">
        <v>445</v>
      </c>
    </row>
    <row r="8" spans="1:6">
      <c r="A8" s="3" t="s">
        <v>441</v>
      </c>
      <c r="B8" s="3" t="s">
        <v>446</v>
      </c>
      <c r="C8" s="3">
        <v>2</v>
      </c>
      <c r="D8" s="5">
        <v>100</v>
      </c>
      <c r="E8" s="5">
        <f t="shared" si="0"/>
        <v>200</v>
      </c>
      <c r="F8" s="3" t="s">
        <v>445</v>
      </c>
    </row>
    <row r="9" spans="1:6" ht="28.5">
      <c r="A9" s="3" t="s">
        <v>140</v>
      </c>
      <c r="B9" s="3" t="s">
        <v>447</v>
      </c>
      <c r="C9" s="3">
        <v>2</v>
      </c>
      <c r="D9" s="5">
        <v>260</v>
      </c>
      <c r="E9" s="5">
        <f t="shared" si="0"/>
        <v>520</v>
      </c>
      <c r="F9" s="3" t="s">
        <v>448</v>
      </c>
    </row>
    <row r="10" spans="1:6">
      <c r="A10" s="3" t="s">
        <v>140</v>
      </c>
      <c r="B10" s="3" t="s">
        <v>449</v>
      </c>
      <c r="C10" s="3">
        <v>1</v>
      </c>
      <c r="D10" s="5">
        <v>30</v>
      </c>
      <c r="E10" s="5">
        <f t="shared" si="0"/>
        <v>30</v>
      </c>
      <c r="F10" s="3" t="s">
        <v>450</v>
      </c>
    </row>
    <row r="11" spans="1:6">
      <c r="A11" s="3" t="s">
        <v>140</v>
      </c>
      <c r="B11" s="3" t="s">
        <v>451</v>
      </c>
      <c r="C11" s="3">
        <v>2</v>
      </c>
      <c r="D11" s="5">
        <v>149</v>
      </c>
      <c r="E11" s="5">
        <f t="shared" si="0"/>
        <v>298</v>
      </c>
      <c r="F11" s="3" t="s">
        <v>452</v>
      </c>
    </row>
    <row r="12" spans="1:6">
      <c r="A12" s="3"/>
      <c r="B12" s="3"/>
      <c r="C12" s="3"/>
      <c r="D12" s="5"/>
      <c r="E12" s="5"/>
      <c r="F12" s="3"/>
    </row>
    <row r="13" spans="1:6">
      <c r="A13" s="3"/>
      <c r="B13" s="3"/>
      <c r="C13" s="3"/>
      <c r="D13" s="5"/>
      <c r="E13" s="5"/>
      <c r="F13" s="3"/>
    </row>
    <row r="14" spans="1:6">
      <c r="A14" s="3"/>
      <c r="B14" s="3"/>
      <c r="C14" s="3"/>
      <c r="D14" s="5"/>
      <c r="E14" s="5"/>
      <c r="F14" s="3"/>
    </row>
    <row r="15" spans="1:6">
      <c r="A15" s="3"/>
      <c r="B15" s="3"/>
      <c r="C15" s="3"/>
      <c r="D15" s="5"/>
      <c r="E15" s="5"/>
      <c r="F15" s="3"/>
    </row>
    <row r="16" spans="1:6">
      <c r="A16" s="3"/>
      <c r="B16" s="3"/>
      <c r="C16" s="3"/>
      <c r="D16" s="5"/>
      <c r="E16" s="5"/>
      <c r="F16" s="3"/>
    </row>
    <row r="17" spans="1:6">
      <c r="A17" s="3"/>
      <c r="B17" s="3"/>
      <c r="C17" s="3"/>
      <c r="D17" s="5"/>
      <c r="E17" s="5"/>
      <c r="F17" s="3"/>
    </row>
    <row r="18" spans="1:6">
      <c r="A18" s="3"/>
      <c r="B18" s="3"/>
      <c r="C18" s="3"/>
      <c r="D18" s="5"/>
      <c r="E18" s="5"/>
      <c r="F18" s="3"/>
    </row>
    <row r="19" spans="1:6">
      <c r="A19" s="3"/>
      <c r="B19" s="3"/>
      <c r="C19" s="3"/>
      <c r="D19" s="5"/>
      <c r="E19" s="5"/>
      <c r="F19" s="3"/>
    </row>
    <row r="20" spans="1:6">
      <c r="A20" s="3"/>
      <c r="B20" s="3"/>
      <c r="C20" s="3"/>
      <c r="D20" s="5"/>
      <c r="E20" s="5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Roteiro por horário</vt:lpstr>
      <vt:lpstr>Passeios e custos</vt:lpstr>
      <vt:lpstr>Prime Gourmet</vt:lpstr>
      <vt:lpstr>Custos estimados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Vezetiv</cp:lastModifiedBy>
  <dcterms:modified xsi:type="dcterms:W3CDTF">2026-07-08T22:00:51Z</dcterms:modified>
</cp:coreProperties>
</file>